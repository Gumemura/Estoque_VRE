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PCdGU\Documents\Git\Estoque_VRE\"/>
    </mc:Choice>
  </mc:AlternateContent>
  <xr:revisionPtr revIDLastSave="0" documentId="13_ncr:1_{C758FA33-3937-4AE4-BFFE-C9CFF2DBA608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Plan1" sheetId="1" r:id="rId1"/>
    <sheet name="Plan2" sheetId="3" r:id="rId2"/>
  </sheet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H45" i="1" l="1"/>
  <c r="AH43" i="1"/>
  <c r="AH42" i="1"/>
  <c r="AH41" i="1"/>
  <c r="AH40" i="1"/>
  <c r="DS20" i="1"/>
  <c r="D54" i="1" a="1"/>
  <c r="FC54" i="1" a="1"/>
  <c r="EM54" i="1" a="1"/>
  <c r="DW54" i="1" a="1"/>
  <c r="DG54" i="1" a="1"/>
  <c r="CQ54" i="1" a="1"/>
  <c r="CA54" i="1" a="1"/>
  <c r="BK54" i="1" a="1"/>
  <c r="AU54" i="1" a="1"/>
  <c r="AE54" i="1" a="1"/>
  <c r="O54" i="1" a="1"/>
  <c r="CU54" i="1" a="1"/>
  <c r="BL54" i="1" a="1"/>
  <c r="AF54" i="1" a="1"/>
  <c r="FM54" i="1" a="1"/>
  <c r="EW54" i="1" a="1"/>
  <c r="EG54" i="1" a="1"/>
  <c r="DQ54" i="1" a="1"/>
  <c r="DA54" i="1" a="1"/>
  <c r="CK54" i="1" a="1"/>
  <c r="BU54" i="1" a="1"/>
  <c r="BE54" i="1" a="1"/>
  <c r="AO54" i="1" a="1"/>
  <c r="Y54" i="1" a="1"/>
  <c r="I54" i="1" a="1"/>
  <c r="FD54" i="1" a="1"/>
  <c r="EN54" i="1" a="1"/>
  <c r="DX54" i="1" a="1"/>
  <c r="DH54" i="1" a="1"/>
  <c r="CM54" i="1" a="1"/>
  <c r="BD54" i="1" a="1"/>
  <c r="AA54" i="1" a="1"/>
  <c r="FI54" i="1" a="1"/>
  <c r="DE54" i="1" a="1"/>
  <c r="AS54" i="1" a="1"/>
  <c r="EH54" i="1" a="1"/>
  <c r="BV54" i="1" a="1"/>
  <c r="J54" i="1" a="1"/>
  <c r="DJ54" i="1" a="1"/>
  <c r="AX54" i="1" a="1"/>
  <c r="EC54" i="1" a="1"/>
  <c r="BQ54" i="1" a="1"/>
  <c r="E54" i="1" a="1"/>
  <c r="FP54" i="1" a="1"/>
  <c r="EZ54" i="1" a="1"/>
  <c r="EJ54" i="1" a="1"/>
  <c r="DT54" i="1" a="1"/>
  <c r="DD54" i="1" a="1"/>
  <c r="CN54" i="1" a="1"/>
  <c r="BX54" i="1" a="1"/>
  <c r="BH54" i="1" a="1"/>
  <c r="AR54" i="1" a="1"/>
  <c r="AB54" i="1" a="1"/>
  <c r="L54" i="1" a="1"/>
  <c r="CJ54" i="1" a="1"/>
  <c r="BG54" i="1" a="1"/>
  <c r="X54" i="1" a="1"/>
  <c r="FJ54" i="1" a="1"/>
  <c r="ET54" i="1" a="1"/>
  <c r="ED54" i="1" a="1"/>
  <c r="DN54" i="1" a="1"/>
  <c r="CX54" i="1" a="1"/>
  <c r="CH54" i="1" a="1"/>
  <c r="BR54" i="1" a="1"/>
  <c r="BB54" i="1" a="1"/>
  <c r="AL54" i="1" a="1"/>
  <c r="V54" i="1" a="1"/>
  <c r="F54" i="1" a="1"/>
  <c r="EY54" i="1" a="1"/>
  <c r="EI54" i="1" a="1"/>
  <c r="DS54" i="1" a="1"/>
  <c r="DC54" i="1" a="1"/>
  <c r="CE54" i="1" a="1"/>
  <c r="AY54" i="1" a="1"/>
  <c r="P54" i="1" a="1"/>
  <c r="FF54" i="1" a="1"/>
  <c r="CT54" i="1" a="1"/>
  <c r="AH54" i="1" a="1"/>
  <c r="DM54" i="1" a="1"/>
  <c r="BA54" i="1" a="1"/>
  <c r="FA54" i="1" a="1"/>
  <c r="CO54" i="1" a="1"/>
  <c r="AC54" i="1" a="1"/>
  <c r="DR54" i="1" a="1"/>
  <c r="BF54" i="1" a="1"/>
  <c r="C54" i="1" a="1"/>
  <c r="FK54" i="1" a="1"/>
  <c r="EU54" i="1" a="1"/>
  <c r="EE54" i="1" a="1"/>
  <c r="DO54" i="1" a="1"/>
  <c r="CY54" i="1" a="1"/>
  <c r="CI54" i="1" a="1"/>
  <c r="BS54" i="1" a="1"/>
  <c r="BC54" i="1" a="1"/>
  <c r="AM54" i="1" a="1"/>
  <c r="W54" i="1" a="1"/>
  <c r="G54" i="1" a="1"/>
  <c r="CB54" i="1" a="1"/>
  <c r="AV54" i="1" a="1"/>
  <c r="S54" i="1" a="1"/>
  <c r="FE54" i="1" a="1"/>
  <c r="EO54" i="1" a="1"/>
  <c r="DY54" i="1" a="1"/>
  <c r="DI54" i="1" a="1"/>
  <c r="CS54" i="1" a="1"/>
  <c r="CC54" i="1" a="1"/>
  <c r="BM54" i="1" a="1"/>
  <c r="AW54" i="1" a="1"/>
  <c r="AG54" i="1" a="1"/>
  <c r="Q54" i="1" a="1"/>
  <c r="FO54" i="1" a="1"/>
  <c r="EV54" i="1" a="1"/>
  <c r="EF54" i="1" a="1"/>
  <c r="DP54" i="1" a="1"/>
  <c r="CZ54" i="1" a="1"/>
  <c r="BT54" i="1" a="1"/>
  <c r="AQ54" i="1" a="1"/>
  <c r="H54" i="1" a="1"/>
  <c r="EK54" i="1" a="1"/>
  <c r="BY54" i="1" a="1"/>
  <c r="M54" i="1" a="1"/>
  <c r="DB54" i="1" a="1"/>
  <c r="AP54" i="1" a="1"/>
  <c r="EP54" i="1" a="1"/>
  <c r="CD54" i="1" a="1"/>
  <c r="R54" i="1" a="1"/>
  <c r="CW54" i="1" a="1"/>
  <c r="AK54" i="1" a="1"/>
  <c r="FH54" i="1" a="1"/>
  <c r="ER54" i="1" a="1"/>
  <c r="EB54" i="1" a="1"/>
  <c r="DL54" i="1" a="1"/>
  <c r="CV54" i="1" a="1"/>
  <c r="CF54" i="1" a="1"/>
  <c r="BP54" i="1" a="1"/>
  <c r="AZ54" i="1" a="1"/>
  <c r="AJ54" i="1" a="1"/>
  <c r="T54" i="1" a="1"/>
  <c r="FL54" i="1" a="1"/>
  <c r="BW54" i="1" a="1"/>
  <c r="AN54" i="1" a="1"/>
  <c r="K54" i="1" a="1"/>
  <c r="FB54" i="1" a="1"/>
  <c r="EL54" i="1" a="1"/>
  <c r="DV54" i="1" a="1"/>
  <c r="DF54" i="1" a="1"/>
  <c r="CP54" i="1" a="1"/>
  <c r="BZ54" i="1" a="1"/>
  <c r="BJ54" i="1" a="1"/>
  <c r="AT54" i="1" a="1"/>
  <c r="AD54" i="1" a="1"/>
  <c r="N54" i="1" a="1"/>
  <c r="FG54" i="1" a="1"/>
  <c r="EQ54" i="1" a="1"/>
  <c r="EA54" i="1" a="1"/>
  <c r="DK54" i="1" a="1"/>
  <c r="CR54" i="1" a="1"/>
  <c r="BO54" i="1" a="1"/>
  <c r="AI54" i="1" a="1"/>
  <c r="FN54" i="1" a="1"/>
  <c r="DZ54" i="1" a="1"/>
  <c r="BN54" i="1" a="1"/>
  <c r="ES54" i="1" a="1"/>
  <c r="CG54" i="1" a="1"/>
  <c r="U54" i="1" a="1"/>
  <c r="DU54" i="1" a="1"/>
  <c r="BI54" i="1" a="1"/>
  <c r="EX54" i="1" a="1"/>
  <c r="CL54" i="1" a="1"/>
  <c r="Z54" i="1" a="1"/>
  <c r="E2" i="3" a="1"/>
  <c r="I2" i="3" a="1"/>
  <c r="DS2" i="3" a="1"/>
  <c r="DW2" i="3" a="1"/>
  <c r="O2" i="3" a="1"/>
  <c r="U2" i="3" a="1"/>
  <c r="CW2" i="3" a="1"/>
  <c r="CV2" i="3" a="1"/>
  <c r="CG2" i="3" a="1"/>
  <c r="AR2" i="3" a="1"/>
  <c r="CH2" i="3" a="1"/>
  <c r="EL2" i="3" a="1"/>
  <c r="W2" i="3" a="1"/>
  <c r="AB2" i="3" a="1"/>
  <c r="BE2" i="3" a="1"/>
  <c r="L2" i="3" a="1"/>
  <c r="R2" i="3" a="1"/>
  <c r="BP2" i="3" a="1"/>
  <c r="AH2" i="3" a="1"/>
  <c r="BZ2" i="3" a="1"/>
  <c r="AY2" i="3" a="1"/>
  <c r="CN2" i="3" a="1"/>
  <c r="AC2" i="3" a="1"/>
  <c r="EK2" i="3" a="1"/>
  <c r="BO2" i="3" a="1"/>
  <c r="DV2" i="3" a="1"/>
  <c r="CZ2" i="3" a="1"/>
  <c r="G2" i="3" a="1"/>
  <c r="DN2" i="3" a="1"/>
  <c r="EF2" i="3" a="1"/>
  <c r="BK2" i="3" a="1"/>
  <c r="CI2" i="3" a="1"/>
  <c r="BW2" i="3" a="1"/>
  <c r="AS2" i="3" a="1"/>
  <c r="BX2" i="3" a="1"/>
  <c r="CU2" i="3" a="1"/>
  <c r="CK2" i="3" a="1"/>
  <c r="BJ2" i="3" a="1"/>
  <c r="AQ2" i="3" a="1"/>
  <c r="AO2" i="3" a="1"/>
  <c r="BB2" i="3" a="1"/>
  <c r="EO2" i="3" a="1"/>
  <c r="X2" i="3" a="1"/>
  <c r="DF2" i="3" a="1"/>
  <c r="BM2" i="3" a="1"/>
  <c r="J2" i="3" a="1"/>
  <c r="AX2" i="3" a="1"/>
  <c r="CD2" i="3" a="1"/>
  <c r="AD2" i="3" a="1"/>
  <c r="CY2" i="3" a="1"/>
  <c r="Z2" i="3" a="1"/>
  <c r="T2" i="3" a="1"/>
  <c r="AM2" i="3" a="1"/>
  <c r="AI2" i="3" a="1"/>
  <c r="CB2" i="3" a="1"/>
  <c r="M2" i="3" a="1"/>
  <c r="DL2" i="3" a="1"/>
  <c r="DU2" i="3" a="1"/>
  <c r="AL2" i="3" a="1"/>
  <c r="BT2" i="3" a="1"/>
  <c r="DX2" i="3" a="1"/>
  <c r="DE2" i="3" a="1"/>
  <c r="CX2" i="3" a="1"/>
  <c r="DP2" i="3" a="1"/>
  <c r="CO2" i="3" a="1"/>
  <c r="S2" i="3" a="1"/>
  <c r="DY2" i="3" a="1"/>
  <c r="AT2" i="3" a="1"/>
  <c r="ED2" i="3" a="1"/>
  <c r="EA2" i="3" a="1"/>
  <c r="BR2" i="3" a="1"/>
  <c r="AJ2" i="3" a="1"/>
  <c r="BV2" i="3" a="1"/>
  <c r="DQ2" i="3" a="1"/>
  <c r="AU2" i="3" a="1"/>
  <c r="DR2" i="3" a="1"/>
  <c r="DT2" i="3" a="1"/>
  <c r="CJ2" i="3" a="1"/>
  <c r="BG2" i="3" a="1"/>
  <c r="EC2" i="3" a="1"/>
  <c r="H2" i="3" a="1"/>
  <c r="AK2" i="3" a="1"/>
  <c r="EE2" i="3" a="1"/>
  <c r="AG2" i="3" a="1"/>
  <c r="EI2" i="3" a="1"/>
  <c r="DJ2" i="3" a="1"/>
  <c r="D2" i="3" a="1"/>
  <c r="BF2" i="3" a="1"/>
  <c r="Y2" i="3" a="1"/>
  <c r="N2" i="3" a="1"/>
  <c r="BS2" i="3" a="1"/>
  <c r="BN2" i="3" a="1"/>
  <c r="CC2" i="3" a="1"/>
  <c r="EN2" i="3" a="1"/>
  <c r="EM2" i="3" a="1"/>
  <c r="DA2" i="3" a="1"/>
  <c r="F2" i="3" a="1"/>
  <c r="DM2" i="3" a="1"/>
  <c r="EP2" i="3" a="1"/>
  <c r="AW2" i="3" a="1"/>
  <c r="BD2" i="3" a="1"/>
  <c r="BI2" i="3" a="1"/>
  <c r="CT2" i="3" a="1"/>
  <c r="K2" i="3" a="1"/>
  <c r="CL2" i="3" a="1"/>
  <c r="BA2" i="3" a="1"/>
  <c r="EJ2" i="3" a="1"/>
  <c r="CA2" i="3" a="1"/>
  <c r="BH2" i="3" a="1"/>
  <c r="BL2" i="3" a="1"/>
  <c r="AA2" i="3" a="1"/>
  <c r="AE2" i="3" a="1"/>
  <c r="DH2" i="3" a="1"/>
  <c r="EG2" i="3" a="1"/>
  <c r="P2" i="3" a="1"/>
  <c r="DO2" i="3" a="1"/>
  <c r="AF2" i="3" a="1"/>
  <c r="CE2" i="3" a="1"/>
  <c r="Q2" i="3" a="1"/>
  <c r="CR2" i="3" a="1"/>
  <c r="V2" i="3" a="1"/>
  <c r="DI2" i="3" a="1"/>
  <c r="DZ2" i="3" a="1"/>
  <c r="EB2" i="3" a="1"/>
  <c r="AV2" i="3" a="1"/>
  <c r="BQ2" i="3" a="1"/>
  <c r="DG2" i="3" a="1"/>
  <c r="BU2" i="3" a="1"/>
  <c r="CF2" i="3" a="1"/>
  <c r="AN2" i="3" a="1"/>
  <c r="DD2" i="3" a="1"/>
  <c r="CP2" i="3" a="1"/>
  <c r="C2" i="3" a="1"/>
  <c r="DC2" i="3" a="1"/>
  <c r="DK2" i="3" a="1"/>
  <c r="CQ2" i="3" a="1"/>
  <c r="BY2" i="3" a="1"/>
  <c r="AP2" i="3" a="1"/>
  <c r="BC2" i="3" a="1"/>
  <c r="AZ2" i="3" a="1"/>
  <c r="EH2" i="3" a="1"/>
  <c r="CS2" i="3" a="1"/>
  <c r="CM2" i="3" a="1"/>
  <c r="DB2" i="3" a="1"/>
  <c r="Z54" i="1" l="1"/>
  <c r="CL54" i="1"/>
  <c r="EX54" i="1"/>
  <c r="BI54" i="1"/>
  <c r="DU54" i="1"/>
  <c r="U54" i="1"/>
  <c r="CG54" i="1"/>
  <c r="ES54" i="1"/>
  <c r="BN54" i="1"/>
  <c r="DZ54" i="1"/>
  <c r="FN54" i="1"/>
  <c r="AI54" i="1"/>
  <c r="BO54" i="1"/>
  <c r="CR54" i="1"/>
  <c r="DK54" i="1"/>
  <c r="EA54" i="1"/>
  <c r="EQ54" i="1"/>
  <c r="FG54" i="1"/>
  <c r="N54" i="1"/>
  <c r="AD54" i="1"/>
  <c r="AT54" i="1"/>
  <c r="BJ54" i="1"/>
  <c r="BZ54" i="1"/>
  <c r="CP54" i="1"/>
  <c r="DF54" i="1"/>
  <c r="DV54" i="1"/>
  <c r="EL54" i="1"/>
  <c r="FB54" i="1"/>
  <c r="K54" i="1"/>
  <c r="AN54" i="1"/>
  <c r="BW54" i="1"/>
  <c r="FL54" i="1"/>
  <c r="T54" i="1"/>
  <c r="AJ54" i="1"/>
  <c r="AZ54" i="1"/>
  <c r="BP54" i="1"/>
  <c r="CF54" i="1"/>
  <c r="CV54" i="1"/>
  <c r="DL54" i="1"/>
  <c r="EB54" i="1"/>
  <c r="ER54" i="1"/>
  <c r="FH54" i="1"/>
  <c r="AK54" i="1"/>
  <c r="CW54" i="1"/>
  <c r="R54" i="1"/>
  <c r="CD54" i="1"/>
  <c r="EP54" i="1"/>
  <c r="AP54" i="1"/>
  <c r="DB54" i="1"/>
  <c r="M54" i="1"/>
  <c r="BY54" i="1"/>
  <c r="EK54" i="1"/>
  <c r="H54" i="1"/>
  <c r="H55" i="1" s="1"/>
  <c r="AQ54" i="1"/>
  <c r="BT54" i="1"/>
  <c r="CZ54" i="1"/>
  <c r="DP54" i="1"/>
  <c r="EF54" i="1"/>
  <c r="EV54" i="1"/>
  <c r="FO54" i="1"/>
  <c r="Q54" i="1"/>
  <c r="AG54" i="1"/>
  <c r="AW54" i="1"/>
  <c r="BM54" i="1"/>
  <c r="CC54" i="1"/>
  <c r="CS54" i="1"/>
  <c r="DI54" i="1"/>
  <c r="DY54" i="1"/>
  <c r="EO54" i="1"/>
  <c r="FE54" i="1"/>
  <c r="S54" i="1"/>
  <c r="AV54" i="1"/>
  <c r="CB54" i="1"/>
  <c r="G54" i="1"/>
  <c r="G55" i="1" s="1"/>
  <c r="W54" i="1"/>
  <c r="AM54" i="1"/>
  <c r="BC54" i="1"/>
  <c r="BS54" i="1"/>
  <c r="CI54" i="1"/>
  <c r="CY54" i="1"/>
  <c r="DO54" i="1"/>
  <c r="EE54" i="1"/>
  <c r="EU54" i="1"/>
  <c r="FK54" i="1"/>
  <c r="C54" i="1"/>
  <c r="C55" i="1" s="1"/>
  <c r="BF54" i="1"/>
  <c r="DR54" i="1"/>
  <c r="AC54" i="1"/>
  <c r="CO54" i="1"/>
  <c r="FA54" i="1"/>
  <c r="BA54" i="1"/>
  <c r="DM54" i="1"/>
  <c r="AH54" i="1"/>
  <c r="CT54" i="1"/>
  <c r="FF54" i="1"/>
  <c r="P54" i="1"/>
  <c r="AY54" i="1"/>
  <c r="CE54" i="1"/>
  <c r="DC54" i="1"/>
  <c r="DS54" i="1"/>
  <c r="EI54" i="1"/>
  <c r="EY54" i="1"/>
  <c r="F54" i="1"/>
  <c r="F55" i="1" s="1"/>
  <c r="V54" i="1"/>
  <c r="AL54" i="1"/>
  <c r="BB54" i="1"/>
  <c r="BR54" i="1"/>
  <c r="CH54" i="1"/>
  <c r="CX54" i="1"/>
  <c r="DN54" i="1"/>
  <c r="ED54" i="1"/>
  <c r="ET54" i="1"/>
  <c r="FJ54" i="1"/>
  <c r="X54" i="1"/>
  <c r="BG54" i="1"/>
  <c r="CJ54" i="1"/>
  <c r="L54" i="1"/>
  <c r="L55" i="1" s="1"/>
  <c r="AB54" i="1"/>
  <c r="AR54" i="1"/>
  <c r="BH54" i="1"/>
  <c r="BX54" i="1"/>
  <c r="CN54" i="1"/>
  <c r="DD54" i="1"/>
  <c r="DT54" i="1"/>
  <c r="EJ54" i="1"/>
  <c r="EZ54" i="1"/>
  <c r="FP54" i="1"/>
  <c r="E54" i="1"/>
  <c r="E55" i="1" s="1"/>
  <c r="BQ54" i="1"/>
  <c r="EC54" i="1"/>
  <c r="AX54" i="1"/>
  <c r="DJ54" i="1"/>
  <c r="J54" i="1"/>
  <c r="BV54" i="1"/>
  <c r="EH54" i="1"/>
  <c r="AS54" i="1"/>
  <c r="DE54" i="1"/>
  <c r="FI54" i="1"/>
  <c r="AA54" i="1"/>
  <c r="BD54" i="1"/>
  <c r="CM54" i="1"/>
  <c r="DH54" i="1"/>
  <c r="DX54" i="1"/>
  <c r="EN54" i="1"/>
  <c r="FD54" i="1"/>
  <c r="I54" i="1"/>
  <c r="Y54" i="1"/>
  <c r="AO54" i="1"/>
  <c r="BE54" i="1"/>
  <c r="BU54" i="1"/>
  <c r="CK54" i="1"/>
  <c r="DA54" i="1"/>
  <c r="DQ54" i="1"/>
  <c r="EG54" i="1"/>
  <c r="EW54" i="1"/>
  <c r="FM54" i="1"/>
  <c r="AF54" i="1"/>
  <c r="BL54" i="1"/>
  <c r="CU54" i="1"/>
  <c r="O54" i="1"/>
  <c r="O55" i="1" s="1"/>
  <c r="AE54" i="1"/>
  <c r="AU54" i="1"/>
  <c r="BK54" i="1"/>
  <c r="CA54" i="1"/>
  <c r="CQ54" i="1"/>
  <c r="DG54" i="1"/>
  <c r="DW54" i="1"/>
  <c r="EM54" i="1"/>
  <c r="FC54" i="1"/>
  <c r="D54" i="1"/>
  <c r="D55" i="1" s="1"/>
  <c r="G2" i="3"/>
  <c r="S2" i="3"/>
  <c r="AI2" i="3"/>
  <c r="AY2" i="3"/>
  <c r="BO2" i="3"/>
  <c r="CE2" i="3"/>
  <c r="CU2" i="3"/>
  <c r="DK2" i="3"/>
  <c r="EE2" i="3"/>
  <c r="W2" i="3"/>
  <c r="AM2" i="3"/>
  <c r="BC2" i="3"/>
  <c r="BS2" i="3"/>
  <c r="CI2" i="3"/>
  <c r="CY2" i="3"/>
  <c r="DO2" i="3"/>
  <c r="EM2" i="3"/>
  <c r="K2" i="3"/>
  <c r="AA2" i="3"/>
  <c r="AQ2" i="3"/>
  <c r="BG2" i="3"/>
  <c r="BW2" i="3"/>
  <c r="CM2" i="3"/>
  <c r="DC2" i="3"/>
  <c r="DS2" i="3"/>
  <c r="O2" i="3"/>
  <c r="AE2" i="3"/>
  <c r="AU2" i="3"/>
  <c r="BK2" i="3"/>
  <c r="CA2" i="3"/>
  <c r="CQ2" i="3"/>
  <c r="DG2" i="3"/>
  <c r="DW2" i="3"/>
  <c r="DY2" i="3"/>
  <c r="EG2" i="3"/>
  <c r="EO2" i="3"/>
  <c r="E2" i="3"/>
  <c r="I2" i="3"/>
  <c r="M2" i="3"/>
  <c r="Q2" i="3"/>
  <c r="U2" i="3"/>
  <c r="Y2" i="3"/>
  <c r="AC2" i="3"/>
  <c r="AG2" i="3"/>
  <c r="AK2" i="3"/>
  <c r="AO2" i="3"/>
  <c r="AS2" i="3"/>
  <c r="AW2" i="3"/>
  <c r="BA2" i="3"/>
  <c r="BE2" i="3"/>
  <c r="BI2" i="3"/>
  <c r="BM2" i="3"/>
  <c r="BQ2" i="3"/>
  <c r="BU2" i="3"/>
  <c r="BY2" i="3"/>
  <c r="CC2" i="3"/>
  <c r="CG2" i="3"/>
  <c r="CK2" i="3"/>
  <c r="CO2" i="3"/>
  <c r="CS2" i="3"/>
  <c r="CW2" i="3"/>
  <c r="DA2" i="3"/>
  <c r="DE2" i="3"/>
  <c r="DI2" i="3"/>
  <c r="DM2" i="3"/>
  <c r="DQ2" i="3"/>
  <c r="DU2" i="3"/>
  <c r="EA2" i="3"/>
  <c r="EI2" i="3"/>
  <c r="EC2" i="3"/>
  <c r="EK2" i="3"/>
  <c r="F2" i="3"/>
  <c r="J2" i="3"/>
  <c r="N2" i="3"/>
  <c r="R2" i="3"/>
  <c r="T2" i="3"/>
  <c r="V2" i="3"/>
  <c r="Z2" i="3"/>
  <c r="AB2" i="3"/>
  <c r="AD2" i="3"/>
  <c r="AF2" i="3"/>
  <c r="AH2" i="3"/>
  <c r="AJ2" i="3"/>
  <c r="AL2" i="3"/>
  <c r="AP2" i="3"/>
  <c r="AR2" i="3"/>
  <c r="AT2" i="3"/>
  <c r="AV2" i="3"/>
  <c r="AX2" i="3"/>
  <c r="AZ2" i="3"/>
  <c r="BB2" i="3"/>
  <c r="BD2" i="3"/>
  <c r="BF2" i="3"/>
  <c r="BH2" i="3"/>
  <c r="BJ2" i="3"/>
  <c r="BL2" i="3"/>
  <c r="BN2" i="3"/>
  <c r="BP2" i="3"/>
  <c r="BR2" i="3"/>
  <c r="BT2" i="3"/>
  <c r="BV2" i="3"/>
  <c r="BX2" i="3"/>
  <c r="BZ2" i="3"/>
  <c r="CB2" i="3"/>
  <c r="CD2" i="3"/>
  <c r="CF2" i="3"/>
  <c r="CH2" i="3"/>
  <c r="CJ2" i="3"/>
  <c r="CL2" i="3"/>
  <c r="CN2" i="3"/>
  <c r="CP2" i="3"/>
  <c r="CR2" i="3"/>
  <c r="CT2" i="3"/>
  <c r="CV2" i="3"/>
  <c r="CX2" i="3"/>
  <c r="CZ2" i="3"/>
  <c r="DB2" i="3"/>
  <c r="DD2" i="3"/>
  <c r="DF2" i="3"/>
  <c r="DH2" i="3"/>
  <c r="DJ2" i="3"/>
  <c r="DL2" i="3"/>
  <c r="DN2" i="3"/>
  <c r="DP2" i="3"/>
  <c r="DR2" i="3"/>
  <c r="DT2" i="3"/>
  <c r="DV2" i="3"/>
  <c r="DX2" i="3"/>
  <c r="DZ2" i="3"/>
  <c r="EB2" i="3"/>
  <c r="ED2" i="3"/>
  <c r="EF2" i="3"/>
  <c r="EH2" i="3"/>
  <c r="EJ2" i="3"/>
  <c r="EL2" i="3"/>
  <c r="EN2" i="3"/>
  <c r="EP2" i="3"/>
  <c r="D2" i="3"/>
  <c r="H2" i="3"/>
  <c r="L2" i="3"/>
  <c r="P2" i="3"/>
  <c r="X2" i="3"/>
  <c r="AN2" i="3"/>
  <c r="C2" i="3"/>
  <c r="FH53" i="1"/>
  <c r="EZ53" i="1"/>
  <c r="EX53" i="1"/>
  <c r="ES53" i="1"/>
  <c r="EQ53" i="1"/>
  <c r="EM53" i="1" l="1"/>
  <c r="EJ53" i="1"/>
  <c r="EI53" i="1"/>
  <c r="EG53" i="1"/>
  <c r="EE53" i="1"/>
  <c r="ED53" i="1"/>
  <c r="EC53" i="1"/>
  <c r="EB53" i="1"/>
  <c r="EA53" i="1"/>
  <c r="DY53" i="1"/>
  <c r="DV53" i="1"/>
  <c r="DQ53" i="1"/>
  <c r="DP53" i="1"/>
  <c r="DO53" i="1"/>
  <c r="DK53" i="1"/>
  <c r="DJ53" i="1"/>
  <c r="DI53" i="1"/>
  <c r="DE53" i="1"/>
  <c r="DD53" i="1"/>
  <c r="DB53" i="1"/>
  <c r="CY53" i="1"/>
  <c r="CW53" i="1"/>
  <c r="CV53" i="1"/>
  <c r="CU53" i="1"/>
  <c r="CT53" i="1"/>
  <c r="CS53" i="1"/>
  <c r="CQ53" i="1"/>
  <c r="CO53" i="1"/>
  <c r="CM53" i="1"/>
  <c r="CK53" i="1"/>
  <c r="CI53" i="1"/>
  <c r="CC53" i="1"/>
  <c r="CB53" i="1"/>
  <c r="BW53" i="1"/>
  <c r="BP53" i="1"/>
  <c r="BJ53" i="1"/>
  <c r="BI53" i="1"/>
  <c r="BE53" i="1"/>
  <c r="AU53" i="1"/>
  <c r="D53" i="1" l="1"/>
  <c r="FG45" i="1"/>
  <c r="FG53" i="1" s="1"/>
  <c r="FF45" i="1"/>
  <c r="FF53" i="1" s="1"/>
  <c r="R45" i="1"/>
  <c r="FE45" i="1"/>
  <c r="FE53" i="1" s="1"/>
  <c r="DG45" i="1"/>
  <c r="Q45" i="1"/>
  <c r="FD45" i="1"/>
  <c r="FD53" i="1" s="1"/>
  <c r="O45" i="1"/>
  <c r="BA45" i="1"/>
  <c r="FC45" i="1"/>
  <c r="FC53" i="1" s="1"/>
  <c r="L45" i="1"/>
  <c r="N45" i="1"/>
  <c r="BK45" i="1"/>
  <c r="BK53" i="1" s="1"/>
  <c r="F45" i="1"/>
  <c r="P45" i="1"/>
  <c r="FB44" i="1" l="1"/>
  <c r="FB53" i="1" s="1"/>
  <c r="FA44" i="1"/>
  <c r="EY44" i="1"/>
  <c r="EW44" i="1"/>
  <c r="EW53" i="1" s="1"/>
  <c r="EV44" i="1"/>
  <c r="EV53" i="1" s="1"/>
  <c r="EU44" i="1"/>
  <c r="EU53" i="1" s="1"/>
  <c r="ET44" i="1"/>
  <c r="ET53" i="1" s="1"/>
  <c r="EK44" i="1" l="1"/>
  <c r="EF27" i="1"/>
  <c r="EF53" i="1" s="1"/>
  <c r="DU44" i="1"/>
  <c r="CR44" i="1"/>
  <c r="CD44" i="1"/>
  <c r="CA44" i="1"/>
  <c r="BZ44" i="1"/>
  <c r="BR44" i="1"/>
  <c r="AW44" i="1"/>
  <c r="AH44" i="1"/>
  <c r="AE44" i="1"/>
  <c r="AB44" i="1"/>
  <c r="Z44" i="1"/>
  <c r="C44" i="1"/>
  <c r="W44" i="1"/>
  <c r="R44" i="1"/>
  <c r="P44" i="1"/>
  <c r="N44" i="1"/>
  <c r="L44" i="1"/>
  <c r="K44" i="1"/>
  <c r="BH53" i="1"/>
  <c r="BF53" i="1"/>
  <c r="CC55" i="1" l="1"/>
  <c r="CK55" i="1"/>
  <c r="CO55" i="1"/>
  <c r="CS55" i="1"/>
  <c r="CW55" i="1"/>
  <c r="DE55" i="1"/>
  <c r="DI55" i="1"/>
  <c r="DY55" i="1"/>
  <c r="EC55" i="1"/>
  <c r="EG55" i="1"/>
  <c r="BH55" i="1"/>
  <c r="BP55" i="1"/>
  <c r="BE55" i="1"/>
  <c r="BI55" i="1"/>
  <c r="BF55" i="1"/>
  <c r="BJ55" i="1"/>
  <c r="CT55" i="1"/>
  <c r="DB55" i="1"/>
  <c r="DJ55" i="1"/>
  <c r="ED55" i="1"/>
  <c r="ET55" i="1"/>
  <c r="AU55" i="1"/>
  <c r="BK55" i="1"/>
  <c r="BW55" i="1"/>
  <c r="CI55" i="1"/>
  <c r="CM55" i="1"/>
  <c r="CQ55" i="1"/>
  <c r="CU55" i="1"/>
  <c r="CY55" i="1"/>
  <c r="DK55" i="1"/>
  <c r="DO55" i="1"/>
  <c r="CB55" i="1"/>
  <c r="CV55" i="1"/>
  <c r="DD55" i="1"/>
  <c r="DP55" i="1"/>
  <c r="EB55" i="1"/>
  <c r="EF55" i="1"/>
  <c r="EJ55" i="1"/>
  <c r="ER26" i="1"/>
  <c r="ES55" i="1" l="1"/>
  <c r="ER53" i="1"/>
  <c r="ER55" i="1" s="1"/>
  <c r="EP26" i="1"/>
  <c r="EO26" i="1"/>
  <c r="EN26" i="1"/>
  <c r="EL26" i="1"/>
  <c r="DW26" i="1"/>
  <c r="DU26" i="1"/>
  <c r="DA26" i="1"/>
  <c r="CD26" i="1"/>
  <c r="CA26" i="1"/>
  <c r="BZ26" i="1"/>
  <c r="BR26" i="1"/>
  <c r="BO26" i="1"/>
  <c r="BD26" i="1"/>
  <c r="AW26" i="1"/>
  <c r="AQ26" i="1"/>
  <c r="AJ26" i="1"/>
  <c r="AH26" i="1"/>
  <c r="AE26" i="1"/>
  <c r="AB26" i="1"/>
  <c r="Z26" i="1"/>
  <c r="X26" i="1"/>
  <c r="W26" i="1"/>
  <c r="R26" i="1"/>
  <c r="O26" i="1"/>
  <c r="K26" i="1"/>
  <c r="L26" i="1"/>
  <c r="N26" i="1"/>
  <c r="P26" i="1"/>
  <c r="EO53" i="1" l="1"/>
  <c r="EO55" i="1" s="1"/>
  <c r="EQ55" i="1"/>
  <c r="EP53" i="1"/>
  <c r="EP55" i="1" s="1"/>
  <c r="EM55" i="1"/>
  <c r="EL53" i="1"/>
  <c r="EN53" i="1"/>
  <c r="EN55" i="1" s="1"/>
  <c r="F37" i="1"/>
  <c r="AB37" i="1"/>
  <c r="AI37" i="1"/>
  <c r="AP37" i="1"/>
  <c r="AQ37" i="1"/>
  <c r="U37" i="1"/>
  <c r="S37" i="1"/>
  <c r="AI31" i="1"/>
  <c r="AQ31" i="1"/>
  <c r="AR31" i="1"/>
  <c r="AX31" i="1"/>
  <c r="AY31" i="1"/>
  <c r="Y31" i="1"/>
  <c r="W31" i="1"/>
  <c r="U31" i="1"/>
  <c r="S31" i="1"/>
  <c r="M31" i="1"/>
  <c r="E31" i="1"/>
  <c r="O31" i="1"/>
  <c r="K31" i="1"/>
  <c r="I31" i="1"/>
  <c r="T36" i="1"/>
  <c r="S36" i="1"/>
  <c r="AJ36" i="1"/>
  <c r="Y36" i="1"/>
  <c r="BA36" i="1"/>
  <c r="M36" i="1"/>
  <c r="BR4" i="1"/>
  <c r="AW4" i="1"/>
  <c r="C27" i="1"/>
  <c r="AR53" i="1" l="1"/>
  <c r="AR55" i="1" s="1"/>
  <c r="Y30" i="1"/>
  <c r="BD30" i="1"/>
  <c r="BO30" i="1"/>
  <c r="CD30" i="1"/>
  <c r="DH30" i="1"/>
  <c r="DT30" i="1"/>
  <c r="CA30" i="1"/>
  <c r="Z30" i="1"/>
  <c r="I30" i="1"/>
  <c r="O30" i="1"/>
  <c r="L30" i="1"/>
  <c r="K30" i="1"/>
  <c r="G30" i="1"/>
  <c r="O39" i="1"/>
  <c r="BU11" i="1"/>
  <c r="DN24" i="1"/>
  <c r="CA24" i="1"/>
  <c r="DL24" i="1"/>
  <c r="DT24" i="1"/>
  <c r="O24" i="1"/>
  <c r="DZ9" i="1"/>
  <c r="AE12" i="1"/>
  <c r="AL22" i="1"/>
  <c r="CA22" i="1"/>
  <c r="Y22" i="1"/>
  <c r="W22" i="1"/>
  <c r="O22" i="1"/>
  <c r="CA20" i="1"/>
  <c r="CD20" i="1"/>
  <c r="C8" i="1"/>
  <c r="DN13" i="1"/>
  <c r="BY29" i="1"/>
  <c r="DF29" i="1"/>
  <c r="CA29" i="1"/>
  <c r="AI29" i="1"/>
  <c r="AB29" i="1"/>
  <c r="Y29" i="1"/>
  <c r="T29" i="1"/>
  <c r="S29" i="1"/>
  <c r="C29" i="1"/>
  <c r="BO13" i="1"/>
  <c r="BZ13" i="1"/>
  <c r="CA19" i="1"/>
  <c r="CA28" i="1"/>
  <c r="Y28" i="1"/>
  <c r="W28" i="1"/>
  <c r="O28" i="1"/>
  <c r="CA6" i="1"/>
  <c r="CG6" i="1"/>
  <c r="O6" i="1"/>
  <c r="CA35" i="1"/>
  <c r="DW35" i="1"/>
  <c r="CZ27" i="1"/>
  <c r="CX27" i="1"/>
  <c r="CD27" i="1"/>
  <c r="CA27" i="1"/>
  <c r="Y27" i="1"/>
  <c r="X27" i="1"/>
  <c r="EK27" i="1"/>
  <c r="EH27" i="1"/>
  <c r="V27" i="1"/>
  <c r="BV27" i="1"/>
  <c r="O27" i="1"/>
  <c r="F27" i="1"/>
  <c r="E27" i="1"/>
  <c r="U10" i="1"/>
  <c r="DT53" i="1" l="1"/>
  <c r="DT55" i="1" s="1"/>
  <c r="EL55" i="1"/>
  <c r="EK53" i="1"/>
  <c r="EK55" i="1" s="1"/>
  <c r="EA55" i="1"/>
  <c r="DZ53" i="1"/>
  <c r="DZ55" i="1" s="1"/>
  <c r="EI55" i="1"/>
  <c r="EH53" i="1"/>
  <c r="EH55" i="1" s="1"/>
  <c r="DW53" i="1"/>
  <c r="DW55" i="1" s="1"/>
  <c r="DN53" i="1"/>
  <c r="DN55" i="1" s="1"/>
  <c r="CX53" i="1"/>
  <c r="CX55" i="1" s="1"/>
  <c r="BD53" i="1"/>
  <c r="BD55" i="1" s="1"/>
  <c r="V53" i="1"/>
  <c r="V55" i="1" s="1"/>
  <c r="CZ53" i="1"/>
  <c r="CZ55" i="1" s="1"/>
  <c r="CG53" i="1"/>
  <c r="CG55" i="1" s="1"/>
  <c r="EE55" i="1"/>
  <c r="CD32" i="1"/>
  <c r="CH32" i="1"/>
  <c r="BZ32" i="1"/>
  <c r="CA32" i="1"/>
  <c r="AJ32" i="1"/>
  <c r="Y32" i="1"/>
  <c r="W32" i="1"/>
  <c r="R32" i="1"/>
  <c r="P32" i="1"/>
  <c r="O32" i="1"/>
  <c r="L32" i="1"/>
  <c r="K32" i="1"/>
  <c r="E32" i="1"/>
  <c r="I32" i="1"/>
  <c r="C32" i="1"/>
  <c r="Y33" i="1"/>
  <c r="CD33" i="1"/>
  <c r="CA33" i="1"/>
  <c r="BR33" i="1"/>
  <c r="C33" i="1"/>
  <c r="O33" i="1"/>
  <c r="E33" i="1"/>
  <c r="I33" i="1"/>
  <c r="AW38" i="1" l="1"/>
  <c r="AE38" i="1"/>
  <c r="AH38" i="1"/>
  <c r="BR38" i="1"/>
  <c r="AW22" i="1"/>
  <c r="AW10" i="1"/>
  <c r="AE14" i="1"/>
  <c r="CH25" i="1" l="1"/>
  <c r="AW37" i="1" l="1"/>
  <c r="AE37" i="1"/>
  <c r="Z37" i="1"/>
  <c r="X37" i="1"/>
  <c r="W37" i="1"/>
  <c r="AJ31" i="1"/>
  <c r="AK31" i="1"/>
  <c r="AW31" i="1"/>
  <c r="AG31" i="1"/>
  <c r="AD31" i="1"/>
  <c r="AA31" i="1"/>
  <c r="X31" i="1"/>
  <c r="AK36" i="1"/>
  <c r="AD36" i="1"/>
  <c r="AE36" i="1"/>
  <c r="Z36" i="1"/>
  <c r="X36" i="1"/>
  <c r="W36" i="1"/>
  <c r="W19" i="1"/>
  <c r="AJ39" i="1"/>
  <c r="AH39" i="1"/>
  <c r="Z39" i="1"/>
  <c r="W39" i="1"/>
  <c r="CL30" i="1"/>
  <c r="BZ30" i="1"/>
  <c r="AW30" i="1"/>
  <c r="AJ30" i="1"/>
  <c r="AE31" i="1"/>
  <c r="W30" i="1"/>
  <c r="AQ24" i="1"/>
  <c r="CN24" i="1"/>
  <c r="CL24" i="1"/>
  <c r="AJ24" i="1"/>
  <c r="AH24" i="1"/>
  <c r="AW6" i="1"/>
  <c r="DA28" i="1"/>
  <c r="BZ28" i="1"/>
  <c r="AW28" i="1"/>
  <c r="X28" i="1"/>
  <c r="Z43" i="1"/>
  <c r="W43" i="1"/>
  <c r="AK22" i="1"/>
  <c r="Z22" i="1"/>
  <c r="X22" i="1"/>
  <c r="AJ25" i="1"/>
  <c r="BZ33" i="1"/>
  <c r="CH33" i="1"/>
  <c r="AJ33" i="1"/>
  <c r="W33" i="1"/>
  <c r="CH20" i="1"/>
  <c r="AO34" i="1"/>
  <c r="AW34" i="1"/>
  <c r="AK34" i="1"/>
  <c r="AW8" i="1"/>
  <c r="AJ8" i="1"/>
  <c r="DC29" i="1"/>
  <c r="AO29" i="1"/>
  <c r="AW29" i="1"/>
  <c r="AQ29" i="1"/>
  <c r="AK29" i="1"/>
  <c r="AG29" i="1"/>
  <c r="Z29" i="1"/>
  <c r="W29" i="1"/>
  <c r="AW35" i="1"/>
  <c r="BZ27" i="1"/>
  <c r="AJ27" i="1"/>
  <c r="AE27" i="1"/>
  <c r="W27" i="1"/>
  <c r="AQ10" i="1"/>
  <c r="AH10" i="1"/>
  <c r="CL53" i="1" l="1"/>
  <c r="CL55" i="1" s="1"/>
  <c r="DA53" i="1"/>
  <c r="DA55" i="1" s="1"/>
  <c r="R37" i="1"/>
  <c r="R39" i="1"/>
  <c r="R36" i="1"/>
  <c r="R33" i="1"/>
  <c r="R31" i="1"/>
  <c r="R30" i="1"/>
  <c r="R29" i="1"/>
  <c r="R28" i="1"/>
  <c r="R27" i="1"/>
  <c r="R25" i="1"/>
  <c r="R24" i="1"/>
  <c r="R22" i="1"/>
  <c r="R12" i="1"/>
  <c r="R10" i="1"/>
  <c r="P37" i="1" l="1"/>
  <c r="P31" i="1"/>
  <c r="P36" i="1"/>
  <c r="P30" i="1"/>
  <c r="P28" i="1"/>
  <c r="P43" i="1"/>
  <c r="P22" i="1"/>
  <c r="P33" i="1"/>
  <c r="P27" i="1"/>
  <c r="P29" i="1"/>
  <c r="P35" i="1"/>
  <c r="N31" i="1"/>
  <c r="N37" i="1"/>
  <c r="N36" i="1"/>
  <c r="N29" i="1"/>
  <c r="N28" i="1"/>
  <c r="N10" i="1"/>
  <c r="L39" i="1"/>
  <c r="L36" i="1"/>
  <c r="K28" i="1"/>
  <c r="L28" i="1"/>
  <c r="L22" i="1"/>
  <c r="L24" i="1"/>
  <c r="L33" i="1"/>
  <c r="L31" i="1"/>
  <c r="L27" i="1"/>
  <c r="L25" i="1"/>
  <c r="L29" i="1"/>
  <c r="L5" i="1"/>
  <c r="M29" i="1"/>
  <c r="AH37" i="1"/>
  <c r="AH36" i="1"/>
  <c r="K42" i="1"/>
  <c r="K41" i="1"/>
  <c r="K40" i="1"/>
  <c r="K39" i="1"/>
  <c r="K37" i="1"/>
  <c r="K36" i="1"/>
  <c r="K29" i="1"/>
  <c r="K27" i="1"/>
  <c r="K22" i="1"/>
  <c r="K6" i="1"/>
  <c r="AH14" i="1" l="1"/>
  <c r="DR20" i="1" l="1"/>
  <c r="P24" i="1"/>
  <c r="DR53" i="1" l="1"/>
  <c r="DR55" i="1" s="1"/>
  <c r="BY19" i="1"/>
  <c r="BV19" i="1"/>
  <c r="BQ19" i="1"/>
  <c r="BA19" i="1"/>
  <c r="AY19" i="1"/>
  <c r="AX19" i="1"/>
  <c r="AW19" i="1"/>
  <c r="AQ19" i="1"/>
  <c r="AL19" i="1"/>
  <c r="AJ19" i="1"/>
  <c r="AI19" i="1"/>
  <c r="AH19" i="1"/>
  <c r="AG19" i="1"/>
  <c r="AE19" i="1"/>
  <c r="AB19" i="1"/>
  <c r="AA19" i="1"/>
  <c r="Z19" i="1"/>
  <c r="Y19" i="1"/>
  <c r="X19" i="1"/>
  <c r="U19" i="1"/>
  <c r="S19" i="1"/>
  <c r="R19" i="1"/>
  <c r="Q19" i="1"/>
  <c r="P19" i="1"/>
  <c r="O19" i="1"/>
  <c r="N19" i="1"/>
  <c r="K19" i="1"/>
  <c r="J19" i="1"/>
  <c r="G19" i="1"/>
  <c r="BA53" i="1" l="1"/>
  <c r="BA55" i="1" s="1"/>
  <c r="BQ53" i="1"/>
  <c r="BQ55" i="1" s="1"/>
  <c r="AQ35" i="1"/>
  <c r="DU35" i="1"/>
  <c r="W35" i="1"/>
  <c r="Y35" i="1"/>
  <c r="X35" i="1"/>
  <c r="BZ35" i="1"/>
  <c r="CD35" i="1"/>
  <c r="Z35" i="1"/>
  <c r="AB35" i="1"/>
  <c r="AK35" i="1"/>
  <c r="AE35" i="1"/>
  <c r="CP35" i="1"/>
  <c r="R35" i="1"/>
  <c r="O35" i="1"/>
  <c r="DF35" i="1"/>
  <c r="N35" i="1"/>
  <c r="K35" i="1"/>
  <c r="L35" i="1"/>
  <c r="AH35" i="1"/>
  <c r="BR35" i="1"/>
  <c r="DU8" i="1"/>
  <c r="AQ34" i="1"/>
  <c r="DU34" i="1"/>
  <c r="W34" i="1"/>
  <c r="Z34" i="1"/>
  <c r="CA34" i="1"/>
  <c r="X34" i="1"/>
  <c r="Y34" i="1"/>
  <c r="DC34" i="1"/>
  <c r="BS34" i="1"/>
  <c r="BR34" i="1"/>
  <c r="AJ34" i="1"/>
  <c r="AI34" i="1"/>
  <c r="AH34" i="1"/>
  <c r="AG34" i="1"/>
  <c r="AE34" i="1"/>
  <c r="AB34" i="1"/>
  <c r="DU53" i="1" l="1"/>
  <c r="DU55" i="1" s="1"/>
  <c r="DC53" i="1"/>
  <c r="DC55" i="1" s="1"/>
  <c r="DV55" i="1"/>
  <c r="R34" i="1"/>
  <c r="T34" i="1"/>
  <c r="S34" i="1"/>
  <c r="DG34" i="1"/>
  <c r="DF34" i="1"/>
  <c r="BY34" i="1"/>
  <c r="G34" i="1"/>
  <c r="C34" i="1"/>
  <c r="K34" i="1"/>
  <c r="O34" i="1"/>
  <c r="P34" i="1"/>
  <c r="N34" i="1"/>
  <c r="L34" i="1"/>
  <c r="BY53" i="1" l="1"/>
  <c r="BY55" i="1" s="1"/>
  <c r="DF53" i="1"/>
  <c r="DF55" i="1" s="1"/>
  <c r="DG53" i="1"/>
  <c r="DG55" i="1" s="1"/>
  <c r="DM14" i="1"/>
  <c r="DM53" i="1" l="1"/>
  <c r="DM55" i="1" s="1"/>
  <c r="CJ22" i="1"/>
  <c r="AP22" i="1"/>
  <c r="AJ22" i="1"/>
  <c r="AH22" i="1"/>
  <c r="AE22" i="1"/>
  <c r="AD22" i="1"/>
  <c r="T22" i="1"/>
  <c r="S22" i="1"/>
  <c r="N22" i="1"/>
  <c r="J22" i="1"/>
  <c r="CJ53" i="1" l="1"/>
  <c r="CJ55" i="1" s="1"/>
  <c r="DL25" i="1"/>
  <c r="C25" i="1"/>
  <c r="DL53" i="1" l="1"/>
  <c r="DL55" i="1" s="1"/>
  <c r="C23" i="1"/>
  <c r="AZ21" i="1" l="1"/>
  <c r="L21" i="1"/>
  <c r="I21" i="1"/>
  <c r="L20" i="1"/>
  <c r="I20" i="1"/>
  <c r="F18" i="1"/>
  <c r="BO17" i="1"/>
  <c r="AA17" i="1"/>
  <c r="R17" i="1"/>
  <c r="F17" i="1"/>
  <c r="P17" i="1"/>
  <c r="L17" i="1"/>
  <c r="AC14" i="1" l="1"/>
  <c r="DH13" i="1"/>
  <c r="Y13" i="1"/>
  <c r="CA13" i="1"/>
  <c r="CD13" i="1"/>
  <c r="BR13" i="1"/>
  <c r="AJ13" i="1"/>
  <c r="AB13" i="1"/>
  <c r="W13" i="1"/>
  <c r="R13" i="1"/>
  <c r="I13" i="1"/>
  <c r="G13" i="1"/>
  <c r="C13" i="1"/>
  <c r="P13" i="1"/>
  <c r="O13" i="1"/>
  <c r="L13" i="1"/>
  <c r="K13" i="1"/>
  <c r="F13" i="1"/>
  <c r="CF12" i="1"/>
  <c r="BR23" i="1"/>
  <c r="AW12" i="1"/>
  <c r="K12" i="1"/>
  <c r="AB10" i="1"/>
  <c r="AA10" i="1"/>
  <c r="W10" i="1"/>
  <c r="X10" i="1"/>
  <c r="Z10" i="1"/>
  <c r="G10" i="1"/>
  <c r="Q10" i="1"/>
  <c r="Q53" i="1" s="1"/>
  <c r="P10" i="1"/>
  <c r="O10" i="1"/>
  <c r="K10" i="1"/>
  <c r="R9" i="1"/>
  <c r="N9" i="1"/>
  <c r="Y8" i="1"/>
  <c r="BR8" i="1"/>
  <c r="CA8" i="1"/>
  <c r="Z8" i="1"/>
  <c r="X8" i="1"/>
  <c r="R8" i="1"/>
  <c r="G8" i="1"/>
  <c r="P8" i="1"/>
  <c r="O8" i="1"/>
  <c r="L8" i="1"/>
  <c r="BR6" i="1"/>
  <c r="Z6" i="1"/>
  <c r="R6" i="1"/>
  <c r="P6" i="1"/>
  <c r="L6" i="1"/>
  <c r="F6" i="1"/>
  <c r="C6" i="1"/>
  <c r="Y5" i="1"/>
  <c r="K4" i="1"/>
  <c r="G4" i="1"/>
  <c r="DH53" i="1" l="1"/>
  <c r="DH55" i="1" s="1"/>
  <c r="AC53" i="1"/>
  <c r="AC55" i="1" s="1"/>
  <c r="AW33" i="1"/>
  <c r="Z33" i="1"/>
  <c r="AH33" i="1"/>
  <c r="Z32" i="1"/>
  <c r="AH32" i="1"/>
  <c r="BR32" i="1"/>
  <c r="AQ30" i="1"/>
  <c r="Z31" i="1" l="1"/>
  <c r="AH31" i="1"/>
  <c r="CE4" i="1" l="1"/>
  <c r="CR27" i="1"/>
  <c r="CP27" i="1"/>
  <c r="CN25" i="1"/>
  <c r="CH23" i="1"/>
  <c r="CD6" i="1"/>
  <c r="CD23" i="1"/>
  <c r="CD24" i="1"/>
  <c r="CD28" i="1"/>
  <c r="CA25" i="1"/>
  <c r="BZ23" i="1"/>
  <c r="BZ24" i="1"/>
  <c r="BZ25" i="1"/>
  <c r="BU27" i="1"/>
  <c r="BS29" i="1"/>
  <c r="CD53" i="1" l="1"/>
  <c r="CD55" i="1" s="1"/>
  <c r="BS53" i="1"/>
  <c r="BS55" i="1" s="1"/>
  <c r="CP53" i="1"/>
  <c r="CP55" i="1" s="1"/>
  <c r="CR53" i="1"/>
  <c r="CR55" i="1" s="1"/>
  <c r="CN53" i="1"/>
  <c r="CN55" i="1" s="1"/>
  <c r="BU53" i="1"/>
  <c r="BU55" i="1" s="1"/>
  <c r="CA53" i="1"/>
  <c r="CA55" i="1" s="1"/>
  <c r="CH53" i="1"/>
  <c r="CH55" i="1" s="1"/>
  <c r="BR27" i="1"/>
  <c r="BR30" i="1"/>
  <c r="BR29" i="1"/>
  <c r="BR28" i="1"/>
  <c r="BR24" i="1"/>
  <c r="BR14" i="1"/>
  <c r="AY27" i="1"/>
  <c r="AW27" i="1"/>
  <c r="AW25" i="1"/>
  <c r="AW24" i="1"/>
  <c r="AW23" i="1"/>
  <c r="AW14" i="1"/>
  <c r="AJ29" i="1"/>
  <c r="AJ28" i="1"/>
  <c r="AJ23" i="1"/>
  <c r="AJ14" i="1"/>
  <c r="AH23" i="1"/>
  <c r="AH25" i="1"/>
  <c r="AH27" i="1"/>
  <c r="AH28" i="1"/>
  <c r="AH29" i="1"/>
  <c r="AH30" i="1"/>
  <c r="AE29" i="1"/>
  <c r="AE28" i="1"/>
  <c r="Z28" i="1"/>
  <c r="Z27" i="1"/>
  <c r="Z25" i="1"/>
  <c r="Z24" i="1"/>
  <c r="Z23" i="1"/>
  <c r="Z14" i="1"/>
  <c r="Y25" i="1"/>
  <c r="Y24" i="1"/>
  <c r="Y23" i="1"/>
  <c r="Y14" i="1"/>
  <c r="X29" i="1"/>
  <c r="W25" i="1"/>
  <c r="W24" i="1"/>
  <c r="W23" i="1"/>
  <c r="W14" i="1"/>
  <c r="R23" i="1"/>
  <c r="R14" i="1"/>
  <c r="P25" i="1"/>
  <c r="P23" i="1"/>
  <c r="P14" i="1"/>
  <c r="O29" i="1"/>
  <c r="O25" i="1"/>
  <c r="O23" i="1"/>
  <c r="O14" i="1"/>
  <c r="N27" i="1"/>
  <c r="M4" i="1"/>
  <c r="L14" i="1"/>
  <c r="L19" i="1"/>
  <c r="I25" i="1"/>
  <c r="I24" i="1"/>
  <c r="G29" i="1"/>
  <c r="G28" i="1"/>
  <c r="E23" i="1"/>
  <c r="C30" i="1"/>
  <c r="C53" i="1" s="1"/>
  <c r="DX4" i="1" s="1"/>
  <c r="DX53" i="1" s="1"/>
  <c r="DX55" i="1" s="1"/>
  <c r="CF4" i="1" l="1"/>
  <c r="CF8" i="1"/>
  <c r="CF53" i="1" l="1"/>
  <c r="CF55" i="1" s="1"/>
  <c r="CE6" i="1"/>
  <c r="CE53" i="1" l="1"/>
  <c r="CE55" i="1" s="1"/>
  <c r="BZ6" i="1"/>
  <c r="Z4" i="1" l="1"/>
  <c r="P4" i="1"/>
  <c r="L4" i="1"/>
  <c r="H4" i="1"/>
  <c r="H53" i="1" l="1"/>
  <c r="BZ20" i="1"/>
  <c r="BO21" i="1"/>
  <c r="AJ21" i="1"/>
  <c r="AA21" i="1"/>
  <c r="R21" i="1"/>
  <c r="P21" i="1"/>
  <c r="BR20" i="1"/>
  <c r="AW20" i="1"/>
  <c r="AE20" i="1"/>
  <c r="AJ20" i="1"/>
  <c r="AH20" i="1"/>
  <c r="Z20" i="1"/>
  <c r="Y20" i="1"/>
  <c r="W20" i="1"/>
  <c r="R20" i="1"/>
  <c r="O20" i="1"/>
  <c r="P20" i="1"/>
  <c r="G20" i="1"/>
  <c r="BZ53" i="1" l="1"/>
  <c r="BZ55" i="1" s="1"/>
  <c r="AX12" i="1"/>
  <c r="AK12" i="1"/>
  <c r="AI12" i="1"/>
  <c r="AH12" i="1"/>
  <c r="Y12" i="1"/>
  <c r="X12" i="1"/>
  <c r="W12" i="1"/>
  <c r="T12" i="1"/>
  <c r="S12" i="1"/>
  <c r="M12" i="1"/>
  <c r="L12" i="1"/>
  <c r="P12" i="1"/>
  <c r="AY12" i="1"/>
  <c r="N12" i="1"/>
  <c r="AY53" i="1" l="1"/>
  <c r="AY55" i="1" s="1"/>
  <c r="AX53" i="1"/>
  <c r="AX55" i="1" s="1"/>
  <c r="Z13" i="1"/>
  <c r="AA13" i="1"/>
  <c r="BR11" i="1" l="1"/>
  <c r="BO11" i="1"/>
  <c r="AZ11" i="1"/>
  <c r="AE11" i="1"/>
  <c r="AB11" i="1"/>
  <c r="P11" i="1"/>
  <c r="O11" i="1"/>
  <c r="BR53" i="1" l="1"/>
  <c r="BR55" i="1" s="1"/>
  <c r="BT17" i="1"/>
  <c r="BX16" i="1" l="1"/>
  <c r="BX53" i="1" l="1"/>
  <c r="BX55" i="1" s="1"/>
  <c r="BV16" i="1"/>
  <c r="BB16" i="1"/>
  <c r="Y16" i="1"/>
  <c r="R16" i="1"/>
  <c r="P16" i="1"/>
  <c r="L16" i="1"/>
  <c r="F9" i="1"/>
  <c r="W9" i="1"/>
  <c r="BN16" i="1"/>
  <c r="BB53" i="1" l="1"/>
  <c r="BB55" i="1" s="1"/>
  <c r="BN53" i="1"/>
  <c r="BN55" i="1" s="1"/>
  <c r="BV53" i="1"/>
  <c r="BV55" i="1" s="1"/>
  <c r="BG3" i="1"/>
  <c r="BO3" i="1" l="1"/>
  <c r="AZ3" i="1"/>
  <c r="BO18" i="1" l="1"/>
  <c r="BG18" i="1"/>
  <c r="AA18" i="1"/>
  <c r="R18" i="1"/>
  <c r="P18" i="1"/>
  <c r="L18" i="1"/>
  <c r="BG17" i="1"/>
  <c r="BO53" i="1" l="1"/>
  <c r="BO55" i="1" s="1"/>
  <c r="BG16" i="1"/>
  <c r="AW16" i="1"/>
  <c r="AN16" i="1"/>
  <c r="AJ16" i="1"/>
  <c r="AH16" i="1"/>
  <c r="AE16" i="1"/>
  <c r="Z16" i="1"/>
  <c r="X16" i="1"/>
  <c r="W16" i="1"/>
  <c r="S16" i="1"/>
  <c r="O16" i="1"/>
  <c r="K16" i="1"/>
  <c r="AH6" i="1" l="1"/>
  <c r="AF6" i="1"/>
  <c r="AE6" i="1"/>
  <c r="AD6" i="1"/>
  <c r="X6" i="1"/>
  <c r="W6" i="1"/>
  <c r="T6" i="1"/>
  <c r="S6" i="1"/>
  <c r="N6" i="1"/>
  <c r="BC6" i="1"/>
  <c r="AZ6" i="1"/>
  <c r="AZ53" i="1" l="1"/>
  <c r="AZ55" i="1" s="1"/>
  <c r="BC53" i="1"/>
  <c r="BC55" i="1" s="1"/>
  <c r="AT31" i="1"/>
  <c r="AT53" i="1" l="1"/>
  <c r="AT55" i="1" s="1"/>
  <c r="AE4" i="1"/>
  <c r="R4" i="1"/>
  <c r="N4" i="1"/>
  <c r="BG15" i="1" l="1"/>
  <c r="W15" i="1"/>
  <c r="Y15" i="1"/>
  <c r="X15" i="1"/>
  <c r="AK15" i="1"/>
  <c r="AW15" i="1"/>
  <c r="AI15" i="1"/>
  <c r="AE15" i="1"/>
  <c r="T15" i="1"/>
  <c r="S15" i="1"/>
  <c r="R15" i="1"/>
  <c r="M15" i="1"/>
  <c r="L15" i="1"/>
  <c r="P15" i="1"/>
  <c r="N15" i="1"/>
  <c r="BM10" i="1" l="1"/>
  <c r="BL10" i="1"/>
  <c r="AV10" i="1"/>
  <c r="AO10" i="1"/>
  <c r="AI10" i="1"/>
  <c r="AE10" i="1"/>
  <c r="S10" i="1"/>
  <c r="Q55" i="1"/>
  <c r="L10" i="1"/>
  <c r="J10" i="1"/>
  <c r="I10" i="1"/>
  <c r="AV53" i="1" l="1"/>
  <c r="AV55" i="1" s="1"/>
  <c r="BL53" i="1"/>
  <c r="BL55" i="1" s="1"/>
  <c r="BM53" i="1"/>
  <c r="BM55" i="1" s="1"/>
  <c r="BG6" i="1"/>
  <c r="BG14" i="1" l="1"/>
  <c r="BG13" i="1"/>
  <c r="BG12" i="1"/>
  <c r="BG11" i="1"/>
  <c r="BG10" i="1"/>
  <c r="BG9" i="1"/>
  <c r="BG8" i="1"/>
  <c r="BG7" i="1"/>
  <c r="BG5" i="1"/>
  <c r="BG4" i="1"/>
  <c r="BG53" i="1" l="1"/>
  <c r="BG55" i="1" s="1"/>
  <c r="AW13" i="1"/>
  <c r="AH13" i="1"/>
  <c r="AW53" i="1" l="1"/>
  <c r="AW55" i="1" s="1"/>
  <c r="AG9" i="1"/>
  <c r="AG53" i="1" l="1"/>
  <c r="AG55" i="1" s="1"/>
  <c r="AS6" i="1"/>
  <c r="AS53" i="1" l="1"/>
  <c r="AS55" i="1" s="1"/>
  <c r="AQ9" i="1"/>
  <c r="AP8" i="1"/>
  <c r="AP6" i="1"/>
  <c r="AP5" i="1"/>
  <c r="AP4" i="1"/>
  <c r="AO7" i="1"/>
  <c r="AN8" i="1"/>
  <c r="AM4" i="1"/>
  <c r="AL4" i="1"/>
  <c r="AK5" i="1"/>
  <c r="AK4" i="1"/>
  <c r="AJ5" i="1"/>
  <c r="AJ4" i="1"/>
  <c r="AI8" i="1"/>
  <c r="AI5" i="1"/>
  <c r="AI4" i="1"/>
  <c r="AH8" i="1"/>
  <c r="AH5" i="1"/>
  <c r="AH4" i="1"/>
  <c r="AF8" i="1"/>
  <c r="AE8" i="1"/>
  <c r="AE5" i="1"/>
  <c r="AD5" i="1"/>
  <c r="AD4" i="1"/>
  <c r="AB9" i="1"/>
  <c r="AB8" i="1"/>
  <c r="AB53" i="1" s="1"/>
  <c r="AA9" i="1"/>
  <c r="AA7" i="1"/>
  <c r="AJ53" i="1" l="1"/>
  <c r="AJ55" i="1" s="1"/>
  <c r="AE53" i="1"/>
  <c r="AE55" i="1" s="1"/>
  <c r="AO53" i="1"/>
  <c r="AO55" i="1" s="1"/>
  <c r="AL53" i="1"/>
  <c r="AL55" i="1" s="1"/>
  <c r="AP53" i="1"/>
  <c r="AP55" i="1" s="1"/>
  <c r="AQ53" i="1"/>
  <c r="AQ55" i="1" s="1"/>
  <c r="AA53" i="1"/>
  <c r="AA55" i="1" s="1"/>
  <c r="AF53" i="1"/>
  <c r="AF55" i="1" s="1"/>
  <c r="AI53" i="1"/>
  <c r="AI55" i="1" s="1"/>
  <c r="AM53" i="1"/>
  <c r="AM55" i="1" s="1"/>
  <c r="AD53" i="1"/>
  <c r="AD55" i="1" s="1"/>
  <c r="AH53" i="1"/>
  <c r="AH55" i="1" s="1"/>
  <c r="AK53" i="1"/>
  <c r="AK55" i="1" s="1"/>
  <c r="AN53" i="1"/>
  <c r="AN55" i="1" s="1"/>
  <c r="AB55" i="1"/>
  <c r="Z9" i="1"/>
  <c r="Z7" i="1"/>
  <c r="Z5" i="1"/>
  <c r="Y4" i="1"/>
  <c r="X9" i="1"/>
  <c r="X4" i="1"/>
  <c r="W8" i="1"/>
  <c r="W7" i="1"/>
  <c r="W5" i="1"/>
  <c r="W4" i="1"/>
  <c r="U8" i="1"/>
  <c r="T8" i="1"/>
  <c r="T4" i="1"/>
  <c r="S8" i="1"/>
  <c r="S5" i="1"/>
  <c r="S4" i="1"/>
  <c r="W53" i="1" l="1"/>
  <c r="X53" i="1"/>
  <c r="X55" i="1" s="1"/>
  <c r="Y53" i="1"/>
  <c r="Y55" i="1" s="1"/>
  <c r="S53" i="1"/>
  <c r="S55" i="1" s="1"/>
  <c r="U53" i="1"/>
  <c r="U55" i="1" s="1"/>
  <c r="Z53" i="1"/>
  <c r="Z55" i="1" s="1"/>
  <c r="T53" i="1"/>
  <c r="T55" i="1" s="1"/>
  <c r="W55" i="1"/>
  <c r="R11" i="1"/>
  <c r="R7" i="1"/>
  <c r="R5" i="1"/>
  <c r="P9" i="1"/>
  <c r="P7" i="1"/>
  <c r="P5" i="1"/>
  <c r="O9" i="1"/>
  <c r="O53" i="1" s="1"/>
  <c r="N8" i="1"/>
  <c r="N5" i="1"/>
  <c r="M5" i="1"/>
  <c r="M53" i="1" s="1"/>
  <c r="L7" i="1"/>
  <c r="K9" i="1"/>
  <c r="K8" i="1"/>
  <c r="K5" i="1"/>
  <c r="J9" i="1"/>
  <c r="J8" i="1"/>
  <c r="J5" i="1"/>
  <c r="I5" i="1"/>
  <c r="I4" i="1"/>
  <c r="G5" i="1"/>
  <c r="G53" i="1" s="1"/>
  <c r="F5" i="1"/>
  <c r="F4" i="1"/>
  <c r="E9" i="1"/>
  <c r="E53" i="1" s="1"/>
  <c r="R53" i="1" l="1"/>
  <c r="F53" i="1"/>
  <c r="K53" i="1"/>
  <c r="K55" i="1" s="1"/>
  <c r="P53" i="1"/>
  <c r="P55" i="1" s="1"/>
  <c r="L53" i="1"/>
  <c r="J53" i="1"/>
  <c r="J55" i="1" s="1"/>
  <c r="N53" i="1"/>
  <c r="N55" i="1" s="1"/>
  <c r="R55" i="1"/>
  <c r="I28" i="1"/>
  <c r="M55" i="1"/>
  <c r="I53" i="1" l="1"/>
  <c r="I55" i="1" s="1"/>
  <c r="DQ55" i="1" l="1"/>
  <c r="DS53" i="1"/>
  <c r="DS55" i="1" s="1"/>
  <c r="BT53" i="1" l="1"/>
  <c r="BT5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VRE Montagem</author>
  </authors>
  <commentList>
    <comment ref="BV3" authorId="0" shapeId="0" xr:uid="{12C51893-3613-456F-A830-9A0B6EE0EC23}">
      <text>
        <r>
          <rPr>
            <b/>
            <sz val="9"/>
            <color indexed="81"/>
            <rFont val="Segoe UI"/>
            <family val="2"/>
          </rPr>
          <t>VRE Montagem: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<sst xmlns="http://schemas.openxmlformats.org/spreadsheetml/2006/main" count="314" uniqueCount="217">
  <si>
    <t>QT PROG</t>
  </si>
  <si>
    <t>FALTA</t>
  </si>
  <si>
    <t>1K 0805</t>
  </si>
  <si>
    <t>1R 0805</t>
  </si>
  <si>
    <t>47R 0805</t>
  </si>
  <si>
    <t>10R 0805</t>
  </si>
  <si>
    <t>0R 0805</t>
  </si>
  <si>
    <t>1K2 2512</t>
  </si>
  <si>
    <t>2K2 0805</t>
  </si>
  <si>
    <t>4K7 0805</t>
  </si>
  <si>
    <t>10K 0805</t>
  </si>
  <si>
    <t>120R 0805</t>
  </si>
  <si>
    <t>390R 0805</t>
  </si>
  <si>
    <t>560R 0805</t>
  </si>
  <si>
    <t>100K 0805</t>
  </si>
  <si>
    <t>0,1UF0805</t>
  </si>
  <si>
    <t>33pF 0805</t>
  </si>
  <si>
    <t>22pF 0805</t>
  </si>
  <si>
    <t>1NF 0805</t>
  </si>
  <si>
    <t>LED 0805</t>
  </si>
  <si>
    <t>LL4148</t>
  </si>
  <si>
    <t>5V1 0805</t>
  </si>
  <si>
    <t xml:space="preserve">S1M </t>
  </si>
  <si>
    <t>BC807</t>
  </si>
  <si>
    <t>BC817</t>
  </si>
  <si>
    <t>MCP130T</t>
  </si>
  <si>
    <t>LM 75A</t>
  </si>
  <si>
    <t>LM2576-5</t>
  </si>
  <si>
    <t>24LC32</t>
  </si>
  <si>
    <t>ULN2003</t>
  </si>
  <si>
    <t>74HCT597</t>
  </si>
  <si>
    <t>74AHCT595</t>
  </si>
  <si>
    <t>74HCT244</t>
  </si>
  <si>
    <t>11173V3</t>
  </si>
  <si>
    <t>LPC 2368</t>
  </si>
  <si>
    <t>FUSREAR M</t>
  </si>
  <si>
    <t>FE1 120Z</t>
  </si>
  <si>
    <t xml:space="preserve"> </t>
  </si>
  <si>
    <t>SDCARD</t>
  </si>
  <si>
    <t>330R0805</t>
  </si>
  <si>
    <t>LM1036</t>
  </si>
  <si>
    <t>TLE4976</t>
  </si>
  <si>
    <t>LPC1114</t>
  </si>
  <si>
    <t>SN75176B</t>
  </si>
  <si>
    <t>LPC1768</t>
  </si>
  <si>
    <t>1K2 0805</t>
  </si>
  <si>
    <t>PCIS</t>
  </si>
  <si>
    <t>RECEBIDO</t>
  </si>
  <si>
    <t>150R0805</t>
  </si>
  <si>
    <t>47k0805</t>
  </si>
  <si>
    <t>200k0805</t>
  </si>
  <si>
    <t>2R70805</t>
  </si>
  <si>
    <t>31M3133</t>
  </si>
  <si>
    <t>FT232FL</t>
  </si>
  <si>
    <t>220K0805</t>
  </si>
  <si>
    <t>ACS712</t>
  </si>
  <si>
    <t>MOC3020</t>
  </si>
  <si>
    <t>CHAMADAS-R03</t>
  </si>
  <si>
    <t>HCPL 354</t>
  </si>
  <si>
    <t>DESRIÇÃO</t>
  </si>
  <si>
    <t>B8290</t>
  </si>
  <si>
    <t>3k30805</t>
  </si>
  <si>
    <t>S1M</t>
  </si>
  <si>
    <t>DECODSE-R05</t>
  </si>
  <si>
    <t>LPC11E37</t>
  </si>
  <si>
    <t>TLP180GB</t>
  </si>
  <si>
    <t>TLP180GR</t>
  </si>
  <si>
    <t>TLP180FT</t>
  </si>
  <si>
    <t>FODM2705R2</t>
  </si>
  <si>
    <t>74AHC595</t>
  </si>
  <si>
    <t>SMAJ5.0A</t>
  </si>
  <si>
    <t>TVS3.3V</t>
  </si>
  <si>
    <t>LPC11E12</t>
  </si>
  <si>
    <t>SMP3V3</t>
  </si>
  <si>
    <t>1K5</t>
  </si>
  <si>
    <t>2K2 0603</t>
  </si>
  <si>
    <t>TS912</t>
  </si>
  <si>
    <t>6K8 0805</t>
  </si>
  <si>
    <t>SS14</t>
  </si>
  <si>
    <t>SMAJ6.5A</t>
  </si>
  <si>
    <t>QT. RECEBIDO</t>
  </si>
  <si>
    <t>IPDMFRONT R03 L00</t>
  </si>
  <si>
    <t>1K-1206</t>
  </si>
  <si>
    <t>3K9-2512</t>
  </si>
  <si>
    <t>SMAJ33A</t>
  </si>
  <si>
    <t>SOQ. BAT.</t>
  </si>
  <si>
    <t xml:space="preserve">100K </t>
  </si>
  <si>
    <t>P6KE33CA</t>
  </si>
  <si>
    <t>S25FL256</t>
  </si>
  <si>
    <t>STM8S005K6T6CTR</t>
  </si>
  <si>
    <t>62R 0805</t>
  </si>
  <si>
    <t>4K7 1206</t>
  </si>
  <si>
    <t>STM8S005C6</t>
  </si>
  <si>
    <t>1M5 0805</t>
  </si>
  <si>
    <t>27R 0805</t>
  </si>
  <si>
    <t>MX25L6433FM21-08G</t>
  </si>
  <si>
    <t>SPWFO1S</t>
  </si>
  <si>
    <t>MULTIMIDIA R02 L03</t>
  </si>
  <si>
    <t>10NF 0805</t>
  </si>
  <si>
    <t>STM32F072RBT6</t>
  </si>
  <si>
    <t>LM2576-12V</t>
  </si>
  <si>
    <t>SMAJ12A</t>
  </si>
  <si>
    <t>220NF</t>
  </si>
  <si>
    <t>STM32F030C8</t>
  </si>
  <si>
    <t>MINILEV R01 L00</t>
  </si>
  <si>
    <t>STM32F091VCT6</t>
  </si>
  <si>
    <t>5K6 1206</t>
  </si>
  <si>
    <t>22K 0805</t>
  </si>
  <si>
    <t>STM8S003K3T6CTR</t>
  </si>
  <si>
    <t>330R 0805</t>
  </si>
  <si>
    <t>1K 1206</t>
  </si>
  <si>
    <t>33PF 0805</t>
  </si>
  <si>
    <t>22PF 0805</t>
  </si>
  <si>
    <t>LM75A</t>
  </si>
  <si>
    <t>LM358</t>
  </si>
  <si>
    <t>24C32</t>
  </si>
  <si>
    <t>HCPL354</t>
  </si>
  <si>
    <t>LPC2368</t>
  </si>
  <si>
    <t>FE120Z</t>
  </si>
  <si>
    <t>75176B</t>
  </si>
  <si>
    <t>150R 0805</t>
  </si>
  <si>
    <t>47K 0805</t>
  </si>
  <si>
    <t>200K 0805</t>
  </si>
  <si>
    <t>2R7 0805</t>
  </si>
  <si>
    <t>220K 0805</t>
  </si>
  <si>
    <t>3K3 0805</t>
  </si>
  <si>
    <t>1K5 0805</t>
  </si>
  <si>
    <t>3K9 2512</t>
  </si>
  <si>
    <t>4K71206</t>
  </si>
  <si>
    <t>SPWF01S</t>
  </si>
  <si>
    <t>GENIUS R06 L01</t>
  </si>
  <si>
    <t>VOICEARD R03 L02</t>
  </si>
  <si>
    <t>INFOSENSOR R08 L01</t>
  </si>
  <si>
    <t>DECODSE R01 L01</t>
  </si>
  <si>
    <t>IPDMCS CONTROL R02 L02</t>
  </si>
  <si>
    <t>CABINA-R01 L03</t>
  </si>
  <si>
    <t>SELETOR R01 L02</t>
  </si>
  <si>
    <t>24LC256</t>
  </si>
  <si>
    <t>560R-1210</t>
  </si>
  <si>
    <t>BIG GLASS-R00 L03 CE0101</t>
  </si>
  <si>
    <t>IPDMGCS R04 L03 CE0057</t>
  </si>
  <si>
    <t>IPDMQCS R01 L02 CE0102</t>
  </si>
  <si>
    <t>IPDMCGcs R00 L01 CE0101</t>
  </si>
  <si>
    <t>COMPONENTES</t>
  </si>
  <si>
    <t>QT. NECESSARIA</t>
  </si>
  <si>
    <t>3K92512</t>
  </si>
  <si>
    <t>24C256</t>
  </si>
  <si>
    <t>560R1210</t>
  </si>
  <si>
    <t>1UF/25V</t>
  </si>
  <si>
    <t>STD10P6F6</t>
  </si>
  <si>
    <t>1K5 5W</t>
  </si>
  <si>
    <t>22K PRO</t>
  </si>
  <si>
    <t>0R 0402</t>
  </si>
  <si>
    <t>LPC1788</t>
  </si>
  <si>
    <t>SW60_36</t>
  </si>
  <si>
    <t>FUSE 1206</t>
  </si>
  <si>
    <t>INFOSLIM R00 L01</t>
  </si>
  <si>
    <t>120R-1206</t>
  </si>
  <si>
    <t>INDUTOR 470UH 1206</t>
  </si>
  <si>
    <t>120R 1206</t>
  </si>
  <si>
    <t>PC16S520V</t>
  </si>
  <si>
    <t>A1103LUA</t>
  </si>
  <si>
    <t>SUD19P06-60</t>
  </si>
  <si>
    <t>DESPA CE00</t>
  </si>
  <si>
    <t>INFOSMS</t>
  </si>
  <si>
    <t>ILHSE</t>
  </si>
  <si>
    <t>GRAVADOR STM8S</t>
  </si>
  <si>
    <t>TESTADOR UNIVERSAL</t>
  </si>
  <si>
    <t>SIMULADOR GENIUS</t>
  </si>
  <si>
    <t>IR SCALA</t>
  </si>
  <si>
    <t>SPWF01SA</t>
  </si>
  <si>
    <t>INDUTOR 744770 20</t>
  </si>
  <si>
    <t>INDUTOR 744771 410 1</t>
  </si>
  <si>
    <t>CONV-3</t>
  </si>
  <si>
    <t>DSS4320T</t>
  </si>
  <si>
    <t>PC PLUS CE105 R02</t>
  </si>
  <si>
    <t>MINI8 R02 L01 CE0099</t>
  </si>
  <si>
    <t>IPDGGCS-R05 L02 CE 0051</t>
  </si>
  <si>
    <t>IPDMCS FRONT2D R00 L00 VM CE0089</t>
  </si>
  <si>
    <t>IPDMCS-FRONT2D R00 L00 AZ CE0089</t>
  </si>
  <si>
    <t>IPDACS FRONT R00 L01 VM CE0094</t>
  </si>
  <si>
    <t>IPDLCD-R07 L02 CE0061</t>
  </si>
  <si>
    <t>IPDACS CONTROLR00 L05 CE0092</t>
  </si>
  <si>
    <t>SCALA R02 L03 CE0067</t>
  </si>
  <si>
    <t>A1193LUA-T</t>
  </si>
  <si>
    <t>SICI-R03L00 CE0084</t>
  </si>
  <si>
    <t>IR-SEG-R05L02 CE0072</t>
  </si>
  <si>
    <t>REVISADO:08/06/2020</t>
  </si>
  <si>
    <t>MINICAB R00 L01 CE107</t>
  </si>
  <si>
    <t>BZX384-B5V1</t>
  </si>
  <si>
    <t>4K7-1210</t>
  </si>
  <si>
    <t>10K-0603</t>
  </si>
  <si>
    <t>2R7-1210</t>
  </si>
  <si>
    <t>0,1UF/50V-0805</t>
  </si>
  <si>
    <t>0,1uF/50V-0603</t>
  </si>
  <si>
    <t>LISTA DE MATERIAIS SMD L 3103</t>
  </si>
  <si>
    <t>DATA:01/10/2020</t>
  </si>
  <si>
    <t>CONV4 CE0109 R00 L00</t>
  </si>
  <si>
    <t>47K5 0805</t>
  </si>
  <si>
    <t>22K1 0805</t>
  </si>
  <si>
    <t>CP2102N</t>
  </si>
  <si>
    <t>USBLC6-2SC6</t>
  </si>
  <si>
    <t>ESP32-WROOM-32</t>
  </si>
  <si>
    <t>74LCX14M</t>
  </si>
  <si>
    <t>BTA760-7</t>
  </si>
  <si>
    <t>RESGATE SEMI CE0106 R00 L04</t>
  </si>
  <si>
    <t>22R 0805</t>
  </si>
  <si>
    <t>27K 0805</t>
  </si>
  <si>
    <t>240R 0805</t>
  </si>
  <si>
    <t>4,7nF 0805</t>
  </si>
  <si>
    <t>10uF 0805</t>
  </si>
  <si>
    <t>GLASS BLACK ALTOCE0100R01 L04</t>
  </si>
  <si>
    <t>IPDCCS GLASS CE100 R01 L06</t>
  </si>
  <si>
    <t>Código</t>
  </si>
  <si>
    <t>Quant por rolo</t>
  </si>
  <si>
    <t>Data</t>
  </si>
  <si>
    <t>RR2012(0805)L470JT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</si>
</sst>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69">
    <xf numFmtId="0" fontId="0" fillId="0" borderId="0" xfId="0"/>
    <xf numFmtId="0" fontId="4" fillId="0" borderId="0" xfId="0" applyFont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2" fontId="0" fillId="0" borderId="0" xfId="1" applyNumberFormat="1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5" xfId="0" applyBorder="1" applyAlignment="1">
      <alignment horizontal="center" vertical="center"/>
    </xf>
    <xf numFmtId="0" fontId="1" fillId="0" borderId="4" xfId="0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left" vertical="center"/>
    </xf>
    <xf numFmtId="14" fontId="1" fillId="0" borderId="0" xfId="0" applyNumberFormat="1" applyFont="1" applyBorder="1" applyAlignment="1">
      <alignment horizontal="left" vertical="center"/>
    </xf>
    <xf numFmtId="14" fontId="1" fillId="0" borderId="8" xfId="0" applyNumberFormat="1" applyFont="1" applyBorder="1" applyAlignment="1">
      <alignment horizontal="left" vertical="center"/>
    </xf>
    <xf numFmtId="14" fontId="1" fillId="0" borderId="0" xfId="0" applyNumberFormat="1" applyFont="1" applyFill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16" fontId="0" fillId="0" borderId="10" xfId="0" applyNumberFormat="1" applyFont="1" applyBorder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9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15" xfId="0" applyNumberFormat="1" applyBorder="1" applyAlignment="1">
      <alignment horizontal="center"/>
    </xf>
    <xf numFmtId="1" fontId="0" fillId="0" borderId="0" xfId="0" applyNumberFormat="1"/>
    <xf numFmtId="0" fontId="0" fillId="2" borderId="0" xfId="0" applyFill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/>
    <xf numFmtId="19" fontId="0" fillId="0" borderId="0" xfId="0" applyNumberFormat="1" applyAlignment="1">
      <alignment horizont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LM71"/>
  <sheetViews>
    <sheetView topLeftCell="A4" zoomScale="95" zoomScaleNormal="82" workbookViewId="0">
      <selection activeCell="D60" sqref="D60"/>
    </sheetView>
  </sheetViews>
  <sheetFormatPr defaultRowHeight="15" x14ac:dyDescent="0.25"/>
  <cols>
    <col min="1" max="1" width="42.5703125" style="56" customWidth="1"/>
    <col min="2" max="11" width="9.140625" style="4"/>
    <col min="12" max="12" width="9.5703125" style="4" customWidth="1"/>
    <col min="13" max="15" width="9.140625" style="4"/>
    <col min="16" max="16" width="9.5703125" style="4" bestFit="1" customWidth="1"/>
    <col min="17" max="22" width="9.140625" style="4"/>
    <col min="23" max="23" width="12.7109375" style="4" bestFit="1" customWidth="1"/>
    <col min="24" max="24" width="9.140625" style="4"/>
    <col min="25" max="25" width="9.28515625" style="4" bestFit="1" customWidth="1"/>
    <col min="26" max="26" width="13.140625" style="4" bestFit="1" customWidth="1"/>
    <col min="27" max="69" width="9.140625" style="4"/>
    <col min="70" max="70" width="12.5703125" style="4" customWidth="1"/>
    <col min="71" max="71" width="12.28515625" style="4" customWidth="1"/>
    <col min="72" max="72" width="9.140625" style="4" customWidth="1"/>
    <col min="73" max="16384" width="9.140625" style="4"/>
  </cols>
  <sheetData>
    <row r="1" spans="1:131" ht="16.5" thickBot="1" x14ac:dyDescent="0.3">
      <c r="A1" s="3" t="s">
        <v>195</v>
      </c>
      <c r="B1" s="2"/>
      <c r="D1" s="5"/>
      <c r="H1" s="3" t="s">
        <v>196</v>
      </c>
      <c r="I1" s="6"/>
      <c r="K1" s="4" t="s">
        <v>187</v>
      </c>
      <c r="AS1" s="7"/>
      <c r="AT1" s="7"/>
      <c r="AU1" s="7"/>
      <c r="AV1" s="7"/>
      <c r="AW1" s="7"/>
      <c r="AX1" s="7"/>
      <c r="AY1" s="7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</row>
    <row r="2" spans="1:131" ht="17.25" thickTop="1" thickBot="1" x14ac:dyDescent="0.3">
      <c r="A2" s="44" t="s">
        <v>59</v>
      </c>
      <c r="B2" s="9" t="s">
        <v>0</v>
      </c>
      <c r="C2" s="10" t="s">
        <v>6</v>
      </c>
      <c r="D2" s="10" t="s">
        <v>3</v>
      </c>
      <c r="E2" s="10" t="s">
        <v>5</v>
      </c>
      <c r="F2" s="10" t="s">
        <v>4</v>
      </c>
      <c r="G2" s="10" t="s">
        <v>11</v>
      </c>
      <c r="H2" s="10" t="s">
        <v>82</v>
      </c>
      <c r="I2" s="11" t="s">
        <v>39</v>
      </c>
      <c r="J2" s="10" t="s">
        <v>12</v>
      </c>
      <c r="K2" s="10" t="s">
        <v>13</v>
      </c>
      <c r="L2" s="10" t="s">
        <v>2</v>
      </c>
      <c r="M2" s="10" t="s">
        <v>7</v>
      </c>
      <c r="N2" s="10" t="s">
        <v>8</v>
      </c>
      <c r="O2" s="10" t="s">
        <v>9</v>
      </c>
      <c r="P2" s="10" t="s">
        <v>10</v>
      </c>
      <c r="Q2" s="10" t="s">
        <v>14</v>
      </c>
      <c r="R2" s="10" t="s">
        <v>15</v>
      </c>
      <c r="S2" s="10" t="s">
        <v>16</v>
      </c>
      <c r="T2" s="10" t="s">
        <v>17</v>
      </c>
      <c r="U2" s="10" t="s">
        <v>18</v>
      </c>
      <c r="V2" s="10" t="s">
        <v>98</v>
      </c>
      <c r="W2" s="10" t="s">
        <v>19</v>
      </c>
      <c r="X2" s="10" t="s">
        <v>20</v>
      </c>
      <c r="Y2" s="10" t="s">
        <v>21</v>
      </c>
      <c r="Z2" s="10" t="s">
        <v>22</v>
      </c>
      <c r="AA2" s="10" t="s">
        <v>23</v>
      </c>
      <c r="AB2" s="10" t="s">
        <v>24</v>
      </c>
      <c r="AC2" s="10" t="s">
        <v>72</v>
      </c>
      <c r="AD2" s="10" t="s">
        <v>25</v>
      </c>
      <c r="AE2" s="10" t="s">
        <v>33</v>
      </c>
      <c r="AF2" s="10" t="s">
        <v>26</v>
      </c>
      <c r="AG2" s="10" t="s">
        <v>114</v>
      </c>
      <c r="AH2" s="10" t="s">
        <v>27</v>
      </c>
      <c r="AI2" s="10" t="s">
        <v>28</v>
      </c>
      <c r="AJ2" s="10" t="s">
        <v>29</v>
      </c>
      <c r="AK2" s="10">
        <v>40106</v>
      </c>
      <c r="AL2" s="10" t="s">
        <v>30</v>
      </c>
      <c r="AM2" s="10" t="s">
        <v>31</v>
      </c>
      <c r="AN2" s="10" t="s">
        <v>32</v>
      </c>
      <c r="AO2" s="10" t="s">
        <v>58</v>
      </c>
      <c r="AP2" s="10" t="s">
        <v>34</v>
      </c>
      <c r="AQ2" s="10" t="s">
        <v>35</v>
      </c>
      <c r="AR2" s="10" t="s">
        <v>36</v>
      </c>
      <c r="AS2" s="10" t="s">
        <v>38</v>
      </c>
      <c r="AT2" s="10" t="s">
        <v>40</v>
      </c>
      <c r="AU2" s="10" t="s">
        <v>41</v>
      </c>
      <c r="AV2" s="10" t="s">
        <v>42</v>
      </c>
      <c r="AW2" s="10" t="s">
        <v>43</v>
      </c>
      <c r="AX2" s="10" t="s">
        <v>44</v>
      </c>
      <c r="AY2" s="10" t="s">
        <v>45</v>
      </c>
      <c r="AZ2" s="12" t="s">
        <v>48</v>
      </c>
      <c r="BA2" s="12" t="s">
        <v>49</v>
      </c>
      <c r="BB2" s="12" t="s">
        <v>50</v>
      </c>
      <c r="BC2" s="13" t="s">
        <v>51</v>
      </c>
      <c r="BD2" s="13" t="s">
        <v>102</v>
      </c>
      <c r="BE2" s="13" t="s">
        <v>46</v>
      </c>
      <c r="BF2" s="13" t="s">
        <v>47</v>
      </c>
      <c r="BG2" s="14" t="s">
        <v>1</v>
      </c>
      <c r="BH2" s="15"/>
      <c r="BI2" s="13" t="s">
        <v>52</v>
      </c>
      <c r="BJ2" s="13" t="s">
        <v>53</v>
      </c>
      <c r="BK2" s="13" t="s">
        <v>54</v>
      </c>
      <c r="BL2" s="13" t="s">
        <v>55</v>
      </c>
      <c r="BM2" s="13" t="s">
        <v>56</v>
      </c>
      <c r="BN2" s="13" t="s">
        <v>64</v>
      </c>
      <c r="BO2" s="13" t="s">
        <v>69</v>
      </c>
      <c r="BP2" s="13" t="s">
        <v>60</v>
      </c>
      <c r="BQ2" s="14" t="s">
        <v>61</v>
      </c>
      <c r="BR2" s="16" t="s">
        <v>70</v>
      </c>
      <c r="BS2" s="17" t="s">
        <v>71</v>
      </c>
      <c r="BT2" s="13" t="s">
        <v>72</v>
      </c>
      <c r="BU2" s="13" t="s">
        <v>73</v>
      </c>
      <c r="BV2" s="13" t="s">
        <v>74</v>
      </c>
      <c r="BW2" s="13" t="s">
        <v>75</v>
      </c>
      <c r="BX2" s="13" t="s">
        <v>76</v>
      </c>
      <c r="BY2" s="13" t="s">
        <v>77</v>
      </c>
      <c r="BZ2" s="13" t="s">
        <v>78</v>
      </c>
      <c r="CA2" s="13" t="s">
        <v>79</v>
      </c>
      <c r="CB2" s="13" t="s">
        <v>86</v>
      </c>
      <c r="CC2" s="13" t="s">
        <v>83</v>
      </c>
      <c r="CD2" s="13" t="s">
        <v>84</v>
      </c>
      <c r="CE2" s="18" t="s">
        <v>85</v>
      </c>
      <c r="CF2" s="13" t="s">
        <v>87</v>
      </c>
      <c r="CG2" s="13" t="s">
        <v>88</v>
      </c>
      <c r="CH2" s="13" t="s">
        <v>89</v>
      </c>
      <c r="CI2" s="18"/>
      <c r="CJ2" s="13" t="s">
        <v>137</v>
      </c>
      <c r="CK2" s="18"/>
      <c r="CL2" s="13" t="s">
        <v>90</v>
      </c>
      <c r="CM2" s="12" t="s">
        <v>91</v>
      </c>
      <c r="CN2" s="12" t="s">
        <v>92</v>
      </c>
      <c r="CO2" s="18"/>
      <c r="CP2" s="12" t="s">
        <v>99</v>
      </c>
      <c r="CQ2" s="18"/>
      <c r="CR2" s="19" t="s">
        <v>93</v>
      </c>
      <c r="CS2" s="19" t="s">
        <v>94</v>
      </c>
      <c r="CT2" s="19" t="s">
        <v>95</v>
      </c>
      <c r="CU2" s="8"/>
      <c r="CV2" s="8"/>
      <c r="CW2" s="19" t="s">
        <v>96</v>
      </c>
      <c r="CX2" s="19" t="s">
        <v>100</v>
      </c>
      <c r="CY2" s="8"/>
      <c r="CZ2" s="19" t="s">
        <v>101</v>
      </c>
      <c r="DA2" s="19" t="s">
        <v>103</v>
      </c>
      <c r="DB2" s="8"/>
      <c r="DC2" s="19" t="s">
        <v>105</v>
      </c>
      <c r="DD2" s="8"/>
      <c r="DE2" s="19">
        <v>555</v>
      </c>
      <c r="DF2" s="19" t="s">
        <v>106</v>
      </c>
      <c r="DG2" s="19" t="s">
        <v>107</v>
      </c>
      <c r="DH2" s="19" t="s">
        <v>108</v>
      </c>
      <c r="DI2" s="8"/>
      <c r="DJ2" s="19" t="s">
        <v>83</v>
      </c>
      <c r="DK2" s="12" t="s">
        <v>137</v>
      </c>
      <c r="DL2" s="12" t="s">
        <v>138</v>
      </c>
      <c r="DM2" s="12" t="s">
        <v>72</v>
      </c>
      <c r="DN2" s="12" t="s">
        <v>148</v>
      </c>
      <c r="DO2" s="18" t="s">
        <v>149</v>
      </c>
      <c r="DP2" s="18"/>
      <c r="DQ2" s="18" t="s">
        <v>150</v>
      </c>
      <c r="DR2" s="18" t="s">
        <v>151</v>
      </c>
      <c r="DS2" s="18" t="s">
        <v>152</v>
      </c>
      <c r="DT2" s="18" t="s">
        <v>153</v>
      </c>
      <c r="DU2" s="18" t="s">
        <v>154</v>
      </c>
      <c r="DV2" s="18" t="s">
        <v>158</v>
      </c>
      <c r="DW2" s="18"/>
      <c r="DX2" s="18" t="s">
        <v>159</v>
      </c>
      <c r="EA2" s="4" t="s">
        <v>184</v>
      </c>
    </row>
    <row r="3" spans="1:131" x14ac:dyDescent="0.25">
      <c r="A3" s="45" t="s">
        <v>37</v>
      </c>
      <c r="B3" s="20"/>
      <c r="AY3" s="4" t="s">
        <v>37</v>
      </c>
      <c r="AZ3" s="4">
        <f>SUM(B3*7)</f>
        <v>0</v>
      </c>
      <c r="BF3" s="4">
        <v>0</v>
      </c>
      <c r="BG3" s="4">
        <f>ABS(BE3-BF3)</f>
        <v>0</v>
      </c>
      <c r="BO3" s="4">
        <f>SUM(B3*2)</f>
        <v>0</v>
      </c>
    </row>
    <row r="4" spans="1:131" x14ac:dyDescent="0.25">
      <c r="A4" s="45" t="s">
        <v>130</v>
      </c>
      <c r="B4" s="20">
        <v>1998</v>
      </c>
      <c r="F4" s="4">
        <f>SUM(6*B4)</f>
        <v>11988</v>
      </c>
      <c r="G4" s="4">
        <f>SUM(8*B4)</f>
        <v>15984</v>
      </c>
      <c r="H4" s="4">
        <f>SUM(44*B4)</f>
        <v>87912</v>
      </c>
      <c r="I4" s="4">
        <f>SUM(8*B4)</f>
        <v>15984</v>
      </c>
      <c r="K4" s="4">
        <f>SUM(44*B4)</f>
        <v>87912</v>
      </c>
      <c r="L4" s="4">
        <f>SUM(43*B4)</f>
        <v>85914</v>
      </c>
      <c r="M4" s="4">
        <f>SUM(48*B4)</f>
        <v>95904</v>
      </c>
      <c r="N4" s="4">
        <f>SUM(45*B4)</f>
        <v>89910</v>
      </c>
      <c r="P4" s="4">
        <f>SUM(13*B4)</f>
        <v>25974</v>
      </c>
      <c r="R4" s="4">
        <f>SUM(48*B4)</f>
        <v>95904</v>
      </c>
      <c r="S4" s="4">
        <f>SUM(2*B4)</f>
        <v>3996</v>
      </c>
      <c r="T4" s="4">
        <f>SUM(2*B4)</f>
        <v>3996</v>
      </c>
      <c r="W4" s="4">
        <f>SUM(42*B4)</f>
        <v>83916</v>
      </c>
      <c r="X4" s="4">
        <f>SUM(7*B4)</f>
        <v>13986</v>
      </c>
      <c r="Y4" s="4">
        <f>SUM(36*B4)</f>
        <v>71928</v>
      </c>
      <c r="Z4" s="4">
        <f>SUM(93*B4)</f>
        <v>185814</v>
      </c>
      <c r="AD4" s="4">
        <f>SUM(1*B4)</f>
        <v>1998</v>
      </c>
      <c r="AE4" s="4">
        <f>SUM(1*B4)</f>
        <v>1998</v>
      </c>
      <c r="AH4" s="4">
        <f>SUM(1*B4)</f>
        <v>1998</v>
      </c>
      <c r="AI4" s="4">
        <f>SUM(1*B4)</f>
        <v>1998</v>
      </c>
      <c r="AJ4" s="4">
        <f>SUM(7*B4)</f>
        <v>13986</v>
      </c>
      <c r="AK4" s="4">
        <f>SUM(7*B4)</f>
        <v>13986</v>
      </c>
      <c r="AL4" s="4">
        <f>SUM(4*B4)</f>
        <v>7992</v>
      </c>
      <c r="AM4" s="4">
        <f>SUM(4*B4)</f>
        <v>7992</v>
      </c>
      <c r="AP4" s="4">
        <f>SUM(1*B4)</f>
        <v>1998</v>
      </c>
      <c r="AW4" s="4">
        <f>SUM(B4*2)</f>
        <v>3996</v>
      </c>
      <c r="BE4" s="4">
        <v>900</v>
      </c>
      <c r="BF4" s="4">
        <v>0</v>
      </c>
      <c r="BG4" s="21">
        <f t="shared" ref="BG4:BG14" si="0">SUM(BE4-BF4)</f>
        <v>900</v>
      </c>
      <c r="BR4" s="4">
        <f>SUM(B4*1)</f>
        <v>1998</v>
      </c>
      <c r="CE4" s="4">
        <f>SUM(1*B4)</f>
        <v>1998</v>
      </c>
      <c r="CF4" s="4">
        <f>SUM(1*B4)</f>
        <v>1998</v>
      </c>
      <c r="DX4" s="4">
        <f>SUM(C53)</f>
        <v>11850</v>
      </c>
    </row>
    <row r="5" spans="1:131" x14ac:dyDescent="0.25">
      <c r="A5" s="45" t="s">
        <v>57</v>
      </c>
      <c r="B5" s="20">
        <v>50</v>
      </c>
      <c r="F5" s="4">
        <f>SUM(12*B5)</f>
        <v>600</v>
      </c>
      <c r="G5" s="4">
        <f>SUM(8*B5)</f>
        <v>400</v>
      </c>
      <c r="I5" s="4">
        <f>SUM(16*B5)</f>
        <v>800</v>
      </c>
      <c r="J5" s="4">
        <f>SUM(7*B5)</f>
        <v>350</v>
      </c>
      <c r="K5" s="4">
        <f>SUM(16*B5)</f>
        <v>800</v>
      </c>
      <c r="L5" s="4">
        <f>SUM(32*B5)</f>
        <v>1600</v>
      </c>
      <c r="M5" s="4">
        <f>SUM(32*B5)</f>
        <v>1600</v>
      </c>
      <c r="N5" s="4">
        <f>SUM(22*B5)</f>
        <v>1100</v>
      </c>
      <c r="P5" s="4">
        <f>SUM(8*B5)</f>
        <v>400</v>
      </c>
      <c r="R5" s="4">
        <f>SUM(16*B5)</f>
        <v>800</v>
      </c>
      <c r="S5" s="4">
        <f>SUM(2*B5)</f>
        <v>100</v>
      </c>
      <c r="W5" s="4">
        <f>SUM(7*B5)</f>
        <v>350</v>
      </c>
      <c r="X5" s="4" t="s">
        <v>37</v>
      </c>
      <c r="Y5" s="4">
        <f>SUM(8*B5)</f>
        <v>400</v>
      </c>
      <c r="Z5" s="4">
        <f>SUM(51*B5)</f>
        <v>2550</v>
      </c>
      <c r="AD5" s="4">
        <f>SUM(1*B5)</f>
        <v>50</v>
      </c>
      <c r="AE5" s="4">
        <f>SUM(1*B5)</f>
        <v>50</v>
      </c>
      <c r="AH5" s="4">
        <f>SUM(1*B5)</f>
        <v>50</v>
      </c>
      <c r="AI5" s="4">
        <f>SUM(1*B5)</f>
        <v>50</v>
      </c>
      <c r="AJ5" s="4">
        <f>SUM(4*B5)</f>
        <v>200</v>
      </c>
      <c r="AK5" s="4">
        <f>SUM(2*B5)</f>
        <v>100</v>
      </c>
      <c r="AP5" s="4">
        <f>SUM(1*B5)</f>
        <v>50</v>
      </c>
      <c r="BE5" s="4">
        <v>0</v>
      </c>
      <c r="BF5" s="4">
        <v>175</v>
      </c>
      <c r="BG5" s="22">
        <f t="shared" si="0"/>
        <v>-175</v>
      </c>
    </row>
    <row r="6" spans="1:131" x14ac:dyDescent="0.25">
      <c r="A6" s="45" t="s">
        <v>131</v>
      </c>
      <c r="B6" s="20">
        <v>500</v>
      </c>
      <c r="C6" s="4">
        <f>SUM(1*B6)</f>
        <v>500</v>
      </c>
      <c r="F6" s="4">
        <f>SUM(1*B6)</f>
        <v>500</v>
      </c>
      <c r="K6" s="4">
        <f>SUM(2*B6)</f>
        <v>1000</v>
      </c>
      <c r="L6" s="4">
        <f>SUM(4*B6)</f>
        <v>2000</v>
      </c>
      <c r="N6" s="4">
        <f>SUM(2*B6)</f>
        <v>1000</v>
      </c>
      <c r="O6" s="4">
        <f>SUM(B6*2)</f>
        <v>1000</v>
      </c>
      <c r="P6" s="4">
        <f>SUM(25*B6)</f>
        <v>12500</v>
      </c>
      <c r="R6" s="4">
        <f>SUM(18*B6)</f>
        <v>9000</v>
      </c>
      <c r="S6" s="4">
        <f>SUM(2*B6)</f>
        <v>1000</v>
      </c>
      <c r="T6" s="4">
        <f>SUM(2*B6)</f>
        <v>1000</v>
      </c>
      <c r="W6" s="4">
        <f>SUM(3*B6)</f>
        <v>1500</v>
      </c>
      <c r="X6" s="4">
        <f>SUM(3*B6)</f>
        <v>1500</v>
      </c>
      <c r="Z6" s="4">
        <f>SUM(3*B6)</f>
        <v>1500</v>
      </c>
      <c r="AD6" s="4">
        <f>SUM(1*B6)</f>
        <v>500</v>
      </c>
      <c r="AE6" s="4">
        <f>SUM(1*B6)</f>
        <v>500</v>
      </c>
      <c r="AF6" s="4">
        <f>SUM(1*B6)</f>
        <v>500</v>
      </c>
      <c r="AH6" s="4">
        <f>SUM(1*B6)</f>
        <v>500</v>
      </c>
      <c r="AP6" s="4">
        <f>SUM(1*B6)</f>
        <v>500</v>
      </c>
      <c r="AS6" s="4">
        <f>SUM(1*B6)</f>
        <v>500</v>
      </c>
      <c r="AW6" s="4">
        <f>SUM(3*B6)</f>
        <v>1500</v>
      </c>
      <c r="AZ6" s="4">
        <f>SUM(2*B6)</f>
        <v>1000</v>
      </c>
      <c r="BC6" s="4">
        <f>SUM(1*B6)</f>
        <v>500</v>
      </c>
      <c r="BE6" s="4">
        <v>400</v>
      </c>
      <c r="BF6" s="22">
        <v>300</v>
      </c>
      <c r="BG6" s="22">
        <f>SUM(BE6-BF6)</f>
        <v>100</v>
      </c>
      <c r="BR6" s="4">
        <f>SUM(1*B6)</f>
        <v>500</v>
      </c>
      <c r="BZ6" s="4">
        <f>SUM(1*B6)</f>
        <v>500</v>
      </c>
      <c r="CA6" s="4">
        <f>SUM(B6*2)</f>
        <v>1000</v>
      </c>
      <c r="CD6" s="4">
        <f>SUM(1*B6)</f>
        <v>500</v>
      </c>
      <c r="CE6" s="4">
        <f>SUM(1*B6)</f>
        <v>500</v>
      </c>
      <c r="CG6" s="4">
        <f>SUM(B6*1)</f>
        <v>500</v>
      </c>
    </row>
    <row r="7" spans="1:131" x14ac:dyDescent="0.25">
      <c r="A7" s="45" t="s">
        <v>186</v>
      </c>
      <c r="B7" s="20">
        <v>1000</v>
      </c>
      <c r="L7" s="4">
        <f>SUM(10*B7)</f>
        <v>10000</v>
      </c>
      <c r="P7" s="4">
        <f>SUM(5*B7)</f>
        <v>5000</v>
      </c>
      <c r="R7" s="4">
        <f>SUM(5*B7)</f>
        <v>5000</v>
      </c>
      <c r="W7" s="4">
        <f>SUM(1*B7)</f>
        <v>1000</v>
      </c>
      <c r="Z7" s="4">
        <f>SUM(1*B7)</f>
        <v>1000</v>
      </c>
      <c r="AA7" s="4">
        <f>SUM(5*B7)</f>
        <v>5000</v>
      </c>
      <c r="AO7" s="22">
        <f>SUM(5*B7)</f>
        <v>5000</v>
      </c>
      <c r="BE7" s="4">
        <v>700</v>
      </c>
      <c r="BF7" s="4">
        <v>590</v>
      </c>
      <c r="BG7" s="21">
        <f t="shared" si="0"/>
        <v>110</v>
      </c>
    </row>
    <row r="8" spans="1:131" x14ac:dyDescent="0.25">
      <c r="A8" s="45" t="s">
        <v>181</v>
      </c>
      <c r="B8" s="20">
        <v>0</v>
      </c>
      <c r="C8" s="4">
        <f>SUM(1*B8)</f>
        <v>0</v>
      </c>
      <c r="G8" s="4">
        <f>SUM(1*B8)</f>
        <v>0</v>
      </c>
      <c r="J8" s="4">
        <f>SUM(2*B8)</f>
        <v>0</v>
      </c>
      <c r="K8" s="4">
        <f>SUM(2*B8)</f>
        <v>0</v>
      </c>
      <c r="L8" s="4">
        <f>SUM(7*B8)</f>
        <v>0</v>
      </c>
      <c r="N8" s="4">
        <f>SUM(5*B8)</f>
        <v>0</v>
      </c>
      <c r="O8" s="4">
        <f>SUM(5*B8)</f>
        <v>0</v>
      </c>
      <c r="P8" s="4">
        <f>SUM(19*B8)</f>
        <v>0</v>
      </c>
      <c r="R8" s="4">
        <f>SUM(12*B8)</f>
        <v>0</v>
      </c>
      <c r="S8" s="4">
        <f>SUM(2*B8)</f>
        <v>0</v>
      </c>
      <c r="T8" s="4">
        <f>SUM(2*B8)</f>
        <v>0</v>
      </c>
      <c r="U8" s="4">
        <f>SUM(1*B8)</f>
        <v>0</v>
      </c>
      <c r="W8" s="4">
        <f>SUM(2*B8)</f>
        <v>0</v>
      </c>
      <c r="X8" s="4">
        <f>SUM(2*B8)</f>
        <v>0</v>
      </c>
      <c r="Y8" s="4">
        <f>SUM(4*B8)</f>
        <v>0</v>
      </c>
      <c r="Z8" s="4">
        <f>SUM(1*B8)</f>
        <v>0</v>
      </c>
      <c r="AB8" s="4">
        <f>SUM(3*B8)</f>
        <v>0</v>
      </c>
      <c r="AE8" s="4">
        <f>SUM(1*B8)</f>
        <v>0</v>
      </c>
      <c r="AF8" s="4">
        <f>SUM(1*B8)</f>
        <v>0</v>
      </c>
      <c r="AH8" s="4">
        <f>SUM(1*B8)</f>
        <v>0</v>
      </c>
      <c r="AI8" s="4">
        <f>SUM(1*B8)</f>
        <v>0</v>
      </c>
      <c r="AJ8" s="4">
        <f>SUM(1*B8)</f>
        <v>0</v>
      </c>
      <c r="AN8" s="4">
        <f>SUM(2*B8)</f>
        <v>0</v>
      </c>
      <c r="AP8" s="4">
        <f>SUM(1*B8)</f>
        <v>0</v>
      </c>
      <c r="AW8" s="4">
        <f>SUM(3*B8)</f>
        <v>0</v>
      </c>
      <c r="BE8" s="4">
        <v>50</v>
      </c>
      <c r="BF8" s="4">
        <v>0</v>
      </c>
      <c r="BG8" s="21">
        <f t="shared" si="0"/>
        <v>50</v>
      </c>
      <c r="BR8" s="4">
        <f>SUM(1*B8)</f>
        <v>0</v>
      </c>
      <c r="CA8" s="4">
        <f>SUM(2*B8)</f>
        <v>0</v>
      </c>
      <c r="CF8" s="4">
        <f>SUM(1*B8)</f>
        <v>0</v>
      </c>
      <c r="DU8" s="4">
        <f>SUM(1*B8)</f>
        <v>0</v>
      </c>
    </row>
    <row r="9" spans="1:131" x14ac:dyDescent="0.25">
      <c r="A9" s="45" t="s">
        <v>132</v>
      </c>
      <c r="B9" s="20">
        <v>10000</v>
      </c>
      <c r="E9" s="4">
        <f>SUM(1*B9)</f>
        <v>10000</v>
      </c>
      <c r="F9" s="4">
        <f>SUM(B9*2)</f>
        <v>20000</v>
      </c>
      <c r="J9" s="4">
        <f>SUM(2*B9)</f>
        <v>20000</v>
      </c>
      <c r="K9" s="4">
        <f>SUM(1*B9)</f>
        <v>10000</v>
      </c>
      <c r="N9" s="4">
        <f>SUM(4*B9)</f>
        <v>40000</v>
      </c>
      <c r="O9" s="4">
        <f>SUM(2*B9)</f>
        <v>20000</v>
      </c>
      <c r="P9" s="4">
        <f>SUM(5*B9)</f>
        <v>50000</v>
      </c>
      <c r="R9" s="4">
        <f>SUM(4*B9)</f>
        <v>40000</v>
      </c>
      <c r="W9" s="4">
        <f>SUM(1*B9)</f>
        <v>10000</v>
      </c>
      <c r="X9" s="4">
        <f>SUM(2*B9)</f>
        <v>20000</v>
      </c>
      <c r="Z9" s="4">
        <f>SUM(2*B9)</f>
        <v>20000</v>
      </c>
      <c r="AA9" s="4">
        <f>SUM(1*B9)</f>
        <v>10000</v>
      </c>
      <c r="AB9" s="4">
        <f>SUM(1*B9)</f>
        <v>10000</v>
      </c>
      <c r="AG9" s="4">
        <f>SUM(2*B9)</f>
        <v>20000</v>
      </c>
      <c r="AQ9" s="4">
        <f>SUM(1*B9)</f>
        <v>10000</v>
      </c>
      <c r="BE9" s="4">
        <v>4000</v>
      </c>
      <c r="BF9" s="4">
        <v>4000</v>
      </c>
      <c r="BG9" s="22">
        <f t="shared" si="0"/>
        <v>0</v>
      </c>
      <c r="DZ9" s="4">
        <f>SUM(B9*2)</f>
        <v>20000</v>
      </c>
    </row>
    <row r="10" spans="1:131" x14ac:dyDescent="0.25">
      <c r="A10" s="45" t="s">
        <v>37</v>
      </c>
      <c r="B10" s="20">
        <v>0</v>
      </c>
      <c r="D10" s="4" t="s">
        <v>37</v>
      </c>
      <c r="G10" s="4">
        <f>SUM(1*B10)</f>
        <v>0</v>
      </c>
      <c r="I10" s="4">
        <f>SUM(1*B10)</f>
        <v>0</v>
      </c>
      <c r="J10" s="4">
        <f>SUM(2*B10)</f>
        <v>0</v>
      </c>
      <c r="K10" s="4">
        <f>SUM(3*B10)</f>
        <v>0</v>
      </c>
      <c r="L10" s="4">
        <f>SUM(1*B10)</f>
        <v>0</v>
      </c>
      <c r="N10" s="4">
        <f>SUM(5*B10)</f>
        <v>0</v>
      </c>
      <c r="O10" s="4">
        <f>SUM(13*B10)</f>
        <v>0</v>
      </c>
      <c r="P10" s="4">
        <f>SUM(21*B10)</f>
        <v>0</v>
      </c>
      <c r="Q10" s="4">
        <f>SUM(3*B10)</f>
        <v>0</v>
      </c>
      <c r="R10" s="4">
        <f>SUM(5*B10)</f>
        <v>0</v>
      </c>
      <c r="S10" s="4">
        <f>SUM(2*B10)</f>
        <v>0</v>
      </c>
      <c r="U10" s="4">
        <f>SUM(,B10*1)</f>
        <v>0</v>
      </c>
      <c r="W10" s="4">
        <f>SUM(6*B10)</f>
        <v>0</v>
      </c>
      <c r="X10" s="4">
        <f>SUM(1*B10)</f>
        <v>0</v>
      </c>
      <c r="Z10" s="4">
        <f>SUM(5*B10)</f>
        <v>0</v>
      </c>
      <c r="AA10" s="4">
        <f>SUM(3*B10)</f>
        <v>0</v>
      </c>
      <c r="AB10" s="4">
        <f>SUM(10*B10)</f>
        <v>0</v>
      </c>
      <c r="AE10" s="4">
        <f>SUM(1*B10)</f>
        <v>0</v>
      </c>
      <c r="AH10" s="4">
        <f>SUM(1*B10)</f>
        <v>0</v>
      </c>
      <c r="AI10" s="4">
        <f>SUM(1*B10)</f>
        <v>0</v>
      </c>
      <c r="AO10" s="4">
        <f>SUM(5*B10)</f>
        <v>0</v>
      </c>
      <c r="AQ10" s="4">
        <f>SUM(2*B10)</f>
        <v>0</v>
      </c>
      <c r="AV10" s="4">
        <f>SUM(1*B10)</f>
        <v>0</v>
      </c>
      <c r="AW10" s="4">
        <f>SUM(2*B10)</f>
        <v>0</v>
      </c>
      <c r="BE10" s="4">
        <v>1100</v>
      </c>
      <c r="BF10" s="4">
        <v>200</v>
      </c>
      <c r="BG10" s="21">
        <f t="shared" si="0"/>
        <v>900</v>
      </c>
      <c r="BL10" s="4">
        <f>SUM(1*B10)</f>
        <v>0</v>
      </c>
      <c r="BM10" s="4">
        <f>SUM(1*B10)</f>
        <v>0</v>
      </c>
    </row>
    <row r="11" spans="1:131" x14ac:dyDescent="0.25">
      <c r="A11" s="45" t="s">
        <v>81</v>
      </c>
      <c r="B11" s="20">
        <v>1000</v>
      </c>
      <c r="O11" s="4">
        <f>SUM(B11*7)</f>
        <v>7000</v>
      </c>
      <c r="P11" s="4">
        <f>SUM(B11*1)</f>
        <v>1000</v>
      </c>
      <c r="R11" s="4">
        <f>SUM(3*B11)</f>
        <v>3000</v>
      </c>
      <c r="AB11" s="4">
        <f>SUM(B11*7)</f>
        <v>7000</v>
      </c>
      <c r="AE11" s="4">
        <f>SUM(B11*1)</f>
        <v>1000</v>
      </c>
      <c r="AO11" s="4" t="s">
        <v>65</v>
      </c>
      <c r="AZ11" s="4">
        <f>SUM(B11*7)</f>
        <v>7000</v>
      </c>
      <c r="BE11" s="4">
        <v>0</v>
      </c>
      <c r="BF11" s="4">
        <v>0</v>
      </c>
      <c r="BG11" s="21">
        <f t="shared" si="0"/>
        <v>0</v>
      </c>
      <c r="BO11" s="4">
        <f>SUM(B11*2)</f>
        <v>2000</v>
      </c>
      <c r="BR11" s="4">
        <f>SUM(B11*1)</f>
        <v>1000</v>
      </c>
      <c r="BU11" s="4">
        <f>SUM(B11*1)</f>
        <v>1000</v>
      </c>
    </row>
    <row r="12" spans="1:131" x14ac:dyDescent="0.25">
      <c r="A12" s="45" t="s">
        <v>133</v>
      </c>
      <c r="B12" s="20">
        <v>200</v>
      </c>
      <c r="K12" s="4">
        <f>SUM(B12*15)</f>
        <v>3000</v>
      </c>
      <c r="L12" s="4">
        <f>SUM(B12*1)</f>
        <v>200</v>
      </c>
      <c r="M12" s="4">
        <f>SUM(B12*12)</f>
        <v>2400</v>
      </c>
      <c r="N12" s="4">
        <f>SUM(B12*15)</f>
        <v>3000</v>
      </c>
      <c r="P12" s="4">
        <f>SUM(B12*7)</f>
        <v>1400</v>
      </c>
      <c r="R12" s="4">
        <f>SUM(19*B12)</f>
        <v>3800</v>
      </c>
      <c r="S12" s="4">
        <f>SUM(B12*2)</f>
        <v>400</v>
      </c>
      <c r="T12" s="4">
        <f>SUM(B12*2)</f>
        <v>400</v>
      </c>
      <c r="W12" s="4">
        <f>SUM(15*B12)</f>
        <v>3000</v>
      </c>
      <c r="X12" s="4">
        <f>SUM(B12*3)</f>
        <v>600</v>
      </c>
      <c r="Y12" s="4">
        <f>SUM(B12*12)</f>
        <v>2400</v>
      </c>
      <c r="AE12" s="4">
        <f>SUM(B12*1)</f>
        <v>200</v>
      </c>
      <c r="AH12" s="4">
        <f>SUM(B12*1)</f>
        <v>200</v>
      </c>
      <c r="AI12" s="4">
        <f>SUM(B12*1)</f>
        <v>200</v>
      </c>
      <c r="AK12" s="4">
        <f>SUM(B12*2)</f>
        <v>400</v>
      </c>
      <c r="AO12" s="4" t="s">
        <v>66</v>
      </c>
      <c r="AW12" s="4">
        <f>SUM(B12*3)</f>
        <v>600</v>
      </c>
      <c r="AX12" s="4">
        <f>SUM(B12*1)</f>
        <v>200</v>
      </c>
      <c r="AY12" s="4">
        <f>SUM(B12*2)</f>
        <v>400</v>
      </c>
      <c r="BE12" s="4">
        <v>0</v>
      </c>
      <c r="BF12" s="4">
        <v>0</v>
      </c>
      <c r="BG12" s="21">
        <f t="shared" si="0"/>
        <v>0</v>
      </c>
      <c r="CF12" s="4">
        <f>SUM(1*B12)</f>
        <v>200</v>
      </c>
    </row>
    <row r="13" spans="1:131" x14ac:dyDescent="0.25">
      <c r="A13" s="45" t="s">
        <v>177</v>
      </c>
      <c r="B13" s="20">
        <v>230</v>
      </c>
      <c r="C13" s="4">
        <f>SUM(2*B13)</f>
        <v>460</v>
      </c>
      <c r="F13" s="4">
        <f>SUM(B13*16)</f>
        <v>3680</v>
      </c>
      <c r="G13" s="4">
        <f>SUM(1*B13)</f>
        <v>230</v>
      </c>
      <c r="I13" s="4">
        <f>SUM(2*B13)</f>
        <v>460</v>
      </c>
      <c r="K13" s="4">
        <f>SUM(1*B13)</f>
        <v>230</v>
      </c>
      <c r="L13" s="4">
        <f>SUM(12*B13)</f>
        <v>2760</v>
      </c>
      <c r="O13" s="4">
        <f>SUM(5*B13)</f>
        <v>1150</v>
      </c>
      <c r="P13" s="4">
        <f>SUM(3*B13)</f>
        <v>690</v>
      </c>
      <c r="R13" s="4">
        <f>SUM(8*B13)</f>
        <v>1840</v>
      </c>
      <c r="S13" s="21"/>
      <c r="W13" s="4">
        <f>SUM(2*B13)</f>
        <v>460</v>
      </c>
      <c r="Y13" s="4">
        <f>SUM(3*B13)</f>
        <v>690</v>
      </c>
      <c r="Z13" s="4">
        <f>SUM(1*B13)</f>
        <v>230</v>
      </c>
      <c r="AA13" s="4">
        <f>SUM(B13*2)</f>
        <v>460</v>
      </c>
      <c r="AB13" s="4">
        <f>SUM(3*B13)</f>
        <v>690</v>
      </c>
      <c r="AH13" s="4">
        <f>SUM(1*B13)</f>
        <v>230</v>
      </c>
      <c r="AJ13" s="4">
        <f>SUM(B13*3)</f>
        <v>690</v>
      </c>
      <c r="AO13" s="4" t="s">
        <v>67</v>
      </c>
      <c r="AW13" s="4">
        <f>SUM(1*B13)</f>
        <v>230</v>
      </c>
      <c r="BE13" s="4">
        <v>200</v>
      </c>
      <c r="BF13" s="4">
        <v>0</v>
      </c>
      <c r="BG13" s="21">
        <f t="shared" si="0"/>
        <v>200</v>
      </c>
      <c r="BO13" s="4">
        <f>SUM(B13*1)</f>
        <v>230</v>
      </c>
      <c r="BR13" s="4">
        <f>SUM(1*B13)</f>
        <v>230</v>
      </c>
      <c r="BZ13" s="4">
        <f>SUM(B13*1)</f>
        <v>230</v>
      </c>
      <c r="CA13" s="4">
        <f>SUM(2*B13)</f>
        <v>460</v>
      </c>
      <c r="CD13" s="4">
        <f>SUM(1*B13)</f>
        <v>230</v>
      </c>
      <c r="DH13" s="4">
        <f>SUM(1*B13)</f>
        <v>230</v>
      </c>
      <c r="DN13" s="4">
        <f>SUM(B13*1)</f>
        <v>230</v>
      </c>
    </row>
    <row r="14" spans="1:131" x14ac:dyDescent="0.25">
      <c r="A14" s="45" t="s">
        <v>134</v>
      </c>
      <c r="B14" s="20">
        <v>0</v>
      </c>
      <c r="L14" s="4">
        <f>SUM(8*B14)</f>
        <v>0</v>
      </c>
      <c r="O14" s="4">
        <f>SUM(3*B14)</f>
        <v>0</v>
      </c>
      <c r="P14" s="4">
        <f>SUM(5*B14)</f>
        <v>0</v>
      </c>
      <c r="R14" s="4">
        <f>SUM(7*B14)</f>
        <v>0</v>
      </c>
      <c r="W14" s="4">
        <f>SUM(1*B14)</f>
        <v>0</v>
      </c>
      <c r="Y14" s="4">
        <f>SUM(3*B14)</f>
        <v>0</v>
      </c>
      <c r="Z14" s="4">
        <f>SUM(1*B14)</f>
        <v>0</v>
      </c>
      <c r="AC14" s="4">
        <f>SUM(1*B14)</f>
        <v>0</v>
      </c>
      <c r="AE14" s="4">
        <f>SUM(1*B14)</f>
        <v>0</v>
      </c>
      <c r="AH14" s="4">
        <f>SUM(1*B14)</f>
        <v>0</v>
      </c>
      <c r="AJ14" s="4">
        <f>SUM(1*B14)</f>
        <v>0</v>
      </c>
      <c r="AW14" s="4">
        <f>SUM(1*B14)</f>
        <v>0</v>
      </c>
      <c r="BE14" s="4">
        <v>5000</v>
      </c>
      <c r="BG14" s="21">
        <f t="shared" si="0"/>
        <v>5000</v>
      </c>
      <c r="BR14" s="4">
        <f>SUM(1*B14)</f>
        <v>0</v>
      </c>
      <c r="DM14" s="4">
        <f>SUM(1*B14)</f>
        <v>0</v>
      </c>
    </row>
    <row r="15" spans="1:131" x14ac:dyDescent="0.25">
      <c r="A15" s="45" t="s">
        <v>63</v>
      </c>
      <c r="B15" s="20">
        <v>0</v>
      </c>
      <c r="L15" s="4">
        <f>SUM(B15*1 )</f>
        <v>0</v>
      </c>
      <c r="M15" s="4">
        <f>SUM(B15*12)</f>
        <v>0</v>
      </c>
      <c r="N15" s="4">
        <f>SUM(B15*15)</f>
        <v>0</v>
      </c>
      <c r="P15" s="4">
        <f>SUM(B15*7)</f>
        <v>0</v>
      </c>
      <c r="R15" s="4">
        <f>SUM(B15*19)</f>
        <v>0</v>
      </c>
      <c r="S15" s="4">
        <f>SUM(B15*2)</f>
        <v>0</v>
      </c>
      <c r="T15" s="4">
        <f>SUM(B15*2)</f>
        <v>0</v>
      </c>
      <c r="W15" s="4">
        <f>SUM(B15*15)</f>
        <v>0</v>
      </c>
      <c r="X15" s="4">
        <f>SUM(B15*3)</f>
        <v>0</v>
      </c>
      <c r="Y15" s="4">
        <f>SUM(B15*12)</f>
        <v>0</v>
      </c>
      <c r="AE15" s="4">
        <f>SUM(B15*1)</f>
        <v>0</v>
      </c>
      <c r="AI15" s="4">
        <f>SUM(B15*1)</f>
        <v>0</v>
      </c>
      <c r="AK15" s="4">
        <f>SUM(B15*2)</f>
        <v>0</v>
      </c>
      <c r="AO15" s="4" t="s">
        <v>68</v>
      </c>
      <c r="AW15" s="4">
        <f>SUM(B15*2)</f>
        <v>0</v>
      </c>
      <c r="BD15" s="4" t="s">
        <v>37</v>
      </c>
      <c r="BE15" s="4">
        <v>200</v>
      </c>
      <c r="BF15" s="4">
        <v>300</v>
      </c>
      <c r="BG15" s="22">
        <f>SUM(BE15-BF15)</f>
        <v>-100</v>
      </c>
    </row>
    <row r="16" spans="1:131" x14ac:dyDescent="0.25">
      <c r="A16" s="45" t="s">
        <v>185</v>
      </c>
      <c r="B16" s="20">
        <v>0</v>
      </c>
      <c r="K16" s="4">
        <f>SUM(2*B16)</f>
        <v>0</v>
      </c>
      <c r="L16" s="4">
        <f>SUM(10*B16)</f>
        <v>0</v>
      </c>
      <c r="O16" s="4">
        <f>SUM(4*B16)</f>
        <v>0</v>
      </c>
      <c r="P16" s="4">
        <f>SUM(5*B16)</f>
        <v>0</v>
      </c>
      <c r="R16" s="4">
        <f>SUM(10*B16)</f>
        <v>0</v>
      </c>
      <c r="S16" s="4">
        <f>SUM(2*B16)</f>
        <v>0</v>
      </c>
      <c r="W16" s="4">
        <f>SUM(3*B16)</f>
        <v>0</v>
      </c>
      <c r="X16" s="4">
        <f>SUM(1*B16)</f>
        <v>0</v>
      </c>
      <c r="Y16" s="4">
        <f>SUM(B16*4)</f>
        <v>0</v>
      </c>
      <c r="Z16" s="4">
        <f>SUM(2*B16)</f>
        <v>0</v>
      </c>
      <c r="AE16" s="4">
        <f>SUM(1*B16)</f>
        <v>0</v>
      </c>
      <c r="AH16" s="4">
        <f>SUM(1*B16)</f>
        <v>0</v>
      </c>
      <c r="AJ16" s="4">
        <f>SUM(1*B16)</f>
        <v>0</v>
      </c>
      <c r="AN16" s="4">
        <f>SUM(2*B16)</f>
        <v>0</v>
      </c>
      <c r="AW16" s="4">
        <f>SUM(1*B16)</f>
        <v>0</v>
      </c>
      <c r="BB16" s="4">
        <f>SUM(B16*1)</f>
        <v>0</v>
      </c>
      <c r="BE16" s="4">
        <v>1300</v>
      </c>
      <c r="BF16" s="4">
        <v>0</v>
      </c>
      <c r="BG16" s="22">
        <f>SUM(BE16-BF16)</f>
        <v>1300</v>
      </c>
      <c r="BN16" s="4">
        <f>SUM(B16*1)</f>
        <v>0</v>
      </c>
      <c r="BV16" s="4">
        <f>SUM(B16*1)</f>
        <v>0</v>
      </c>
      <c r="BX16" s="4">
        <f>SUM(1*B16)</f>
        <v>0</v>
      </c>
    </row>
    <row r="17" spans="1:148" x14ac:dyDescent="0.25">
      <c r="A17" s="45" t="s">
        <v>178</v>
      </c>
      <c r="B17" s="20">
        <v>4000</v>
      </c>
      <c r="D17" s="24"/>
      <c r="F17" s="4">
        <f>SUM(5*B17)</f>
        <v>20000</v>
      </c>
      <c r="L17" s="4">
        <f>SUM(B17*10)</f>
        <v>40000</v>
      </c>
      <c r="P17" s="4">
        <f>SUM(B17*1)</f>
        <v>4000</v>
      </c>
      <c r="R17" s="4">
        <f>SUM(B17*1)</f>
        <v>4000</v>
      </c>
      <c r="AA17" s="4">
        <f>SUM(5*B17)</f>
        <v>20000</v>
      </c>
      <c r="AB17" s="21"/>
      <c r="BE17" s="4">
        <v>4000</v>
      </c>
      <c r="BF17" s="4">
        <v>1400</v>
      </c>
      <c r="BG17" s="21">
        <f>SUM(BE17-BF17)</f>
        <v>2600</v>
      </c>
      <c r="BO17" s="4">
        <f>SUM(2*B17)</f>
        <v>8000</v>
      </c>
      <c r="BT17" s="4">
        <f>SUM(B17*1)</f>
        <v>4000</v>
      </c>
    </row>
    <row r="18" spans="1:148" x14ac:dyDescent="0.25">
      <c r="A18" s="45" t="s">
        <v>179</v>
      </c>
      <c r="B18" s="20">
        <v>2600</v>
      </c>
      <c r="C18" s="26"/>
      <c r="E18" s="26"/>
      <c r="F18" s="4">
        <f>SUM(5*B18)</f>
        <v>13000</v>
      </c>
      <c r="L18" s="4">
        <f>SUM(B18*10)</f>
        <v>26000</v>
      </c>
      <c r="P18" s="4">
        <f>SUM(B18*1)</f>
        <v>2600</v>
      </c>
      <c r="R18" s="4">
        <f>SUM(B18*1)</f>
        <v>2600</v>
      </c>
      <c r="AA18" s="4">
        <f>SUM(B18*5)</f>
        <v>13000</v>
      </c>
      <c r="BE18" s="4">
        <v>1000</v>
      </c>
      <c r="BF18" s="4">
        <v>2800</v>
      </c>
      <c r="BG18" s="21">
        <f>SUM(BE18-BF18)</f>
        <v>-1800</v>
      </c>
      <c r="BO18" s="4">
        <f>SUM(B18*2)</f>
        <v>5200</v>
      </c>
    </row>
    <row r="19" spans="1:148" x14ac:dyDescent="0.25">
      <c r="A19" s="46" t="s">
        <v>135</v>
      </c>
      <c r="B19" s="27">
        <v>800</v>
      </c>
      <c r="G19" s="4">
        <f>SUM(B19*1)</f>
        <v>800</v>
      </c>
      <c r="J19" s="4">
        <f>SUM(B19*1)</f>
        <v>800</v>
      </c>
      <c r="K19" s="4">
        <f>SUM(B19*2)</f>
        <v>1600</v>
      </c>
      <c r="L19" s="4">
        <f>SUM(B19*10)</f>
        <v>8000</v>
      </c>
      <c r="N19" s="4">
        <f>SUM(B19*15)</f>
        <v>12000</v>
      </c>
      <c r="O19" s="4">
        <f>SUM(B19*36)</f>
        <v>28800</v>
      </c>
      <c r="P19" s="4">
        <f>SUM(B19*3)</f>
        <v>2400</v>
      </c>
      <c r="Q19" s="4">
        <f>SUM(B19*2)</f>
        <v>1600</v>
      </c>
      <c r="R19" s="4">
        <f>SUM(B19*22)</f>
        <v>17600</v>
      </c>
      <c r="S19" s="4">
        <f>SUM(B19*2)</f>
        <v>1600</v>
      </c>
      <c r="U19" s="4">
        <f>SUM(B19*1)</f>
        <v>800</v>
      </c>
      <c r="W19" s="4">
        <f>SUM(B19*14)</f>
        <v>11200</v>
      </c>
      <c r="X19" s="4">
        <f>SUM(B19*3)</f>
        <v>2400</v>
      </c>
      <c r="Y19" s="4">
        <f>SUM(B19*4)</f>
        <v>3200</v>
      </c>
      <c r="Z19" s="4">
        <f>SUM(B19*7)</f>
        <v>5600</v>
      </c>
      <c r="AA19" s="4">
        <f>SUM(B19*8)</f>
        <v>6400</v>
      </c>
      <c r="AB19" s="4">
        <f>SUM(B19*13)</f>
        <v>10400</v>
      </c>
      <c r="AE19" s="4">
        <f>SUM(B19*1)</f>
        <v>800</v>
      </c>
      <c r="AG19" s="4">
        <f>SUM(B19*1)</f>
        <v>800</v>
      </c>
      <c r="AH19" s="4">
        <f>SUM(B19*1)</f>
        <v>800</v>
      </c>
      <c r="AI19" s="4">
        <f>SUM(B19*1)</f>
        <v>800</v>
      </c>
      <c r="AJ19" s="4">
        <f>SUM(B19*4)</f>
        <v>3200</v>
      </c>
      <c r="AL19" s="4">
        <f>SUM(B19*2)</f>
        <v>1600</v>
      </c>
      <c r="AQ19" s="4">
        <f>SUM(B19*1)</f>
        <v>800</v>
      </c>
      <c r="AW19" s="4">
        <f>SUM(B19*2)</f>
        <v>1600</v>
      </c>
      <c r="AX19" s="4">
        <f>SUM(B19*1)</f>
        <v>800</v>
      </c>
      <c r="AY19" s="4">
        <f>SUM(B19*1)</f>
        <v>800</v>
      </c>
      <c r="BA19" s="4">
        <f>SUM(B19*1)</f>
        <v>800</v>
      </c>
      <c r="BE19" s="4">
        <v>600</v>
      </c>
      <c r="BG19" s="22"/>
      <c r="BQ19" s="4">
        <f>SUM(B19*8)</f>
        <v>6400</v>
      </c>
      <c r="BV19" s="4">
        <f>SUM(B19*8)</f>
        <v>6400</v>
      </c>
      <c r="BY19" s="4">
        <f>SUM(B19*1)</f>
        <v>800</v>
      </c>
      <c r="CA19" s="4">
        <f>SUM(B19*8)</f>
        <v>6400</v>
      </c>
    </row>
    <row r="20" spans="1:148" x14ac:dyDescent="0.25">
      <c r="A20" s="46" t="s">
        <v>182</v>
      </c>
      <c r="B20" s="20">
        <v>10100</v>
      </c>
      <c r="G20" s="4">
        <f>SUM(B20*1)</f>
        <v>10100</v>
      </c>
      <c r="I20" s="4">
        <f>SUM(2*B20)</f>
        <v>20200</v>
      </c>
      <c r="K20" s="4">
        <v>0</v>
      </c>
      <c r="L20" s="4">
        <f>SUM(B20*5)</f>
        <v>50500</v>
      </c>
      <c r="O20" s="4">
        <f>SUM(B20*4)</f>
        <v>40400</v>
      </c>
      <c r="P20" s="4">
        <f>SUM(B20*3)</f>
        <v>30300</v>
      </c>
      <c r="R20" s="4">
        <f>SUM(B20*8)</f>
        <v>80800</v>
      </c>
      <c r="W20" s="4">
        <f>SUM(B20*2)</f>
        <v>20200</v>
      </c>
      <c r="Y20" s="4">
        <f>SUM(B20*3)</f>
        <v>30300</v>
      </c>
      <c r="Z20" s="4">
        <f>SUM(B20*1)</f>
        <v>10100</v>
      </c>
      <c r="AE20" s="4">
        <f>SUM(B20*1)</f>
        <v>10100</v>
      </c>
      <c r="AH20" s="4">
        <f>SUM(B20*1)</f>
        <v>10100</v>
      </c>
      <c r="AJ20" s="4">
        <f>SUM(B20*1)</f>
        <v>10100</v>
      </c>
      <c r="AW20" s="4">
        <f>SUM(B20*1)</f>
        <v>10100</v>
      </c>
      <c r="BE20" s="4">
        <v>1600</v>
      </c>
      <c r="BF20" s="4">
        <v>1000</v>
      </c>
      <c r="BG20" s="22">
        <v>0</v>
      </c>
      <c r="BR20" s="4">
        <f>SUM(B20*1)</f>
        <v>10100</v>
      </c>
      <c r="BZ20" s="4">
        <f>SUM(B20*1)</f>
        <v>10100</v>
      </c>
      <c r="CA20" s="4">
        <f>SUM(B20*2)</f>
        <v>20200</v>
      </c>
      <c r="CD20" s="4">
        <f>SUM(B20*1)</f>
        <v>10100</v>
      </c>
      <c r="CH20" s="4">
        <f>SUM(1*B20)</f>
        <v>10100</v>
      </c>
      <c r="DR20" s="4">
        <f>SUM(3*B20)</f>
        <v>30300</v>
      </c>
      <c r="DS20" s="4">
        <f>SUM(B20*3)</f>
        <v>30300</v>
      </c>
    </row>
    <row r="21" spans="1:148" x14ac:dyDescent="0.25">
      <c r="A21" s="46" t="s">
        <v>180</v>
      </c>
      <c r="B21" s="20">
        <v>3500</v>
      </c>
      <c r="I21" s="4">
        <f>SUM(14*B21)</f>
        <v>49000</v>
      </c>
      <c r="L21" s="4">
        <f>SUM(B21*4)</f>
        <v>14000</v>
      </c>
      <c r="P21" s="4">
        <f>SUM(B21*1)</f>
        <v>3500</v>
      </c>
      <c r="R21" s="4">
        <f>SUM(B21*2)</f>
        <v>7000</v>
      </c>
      <c r="AA21" s="4">
        <f>SUM(B21*2)</f>
        <v>7000</v>
      </c>
      <c r="AJ21" s="4">
        <f>SUM(B21*2)</f>
        <v>7000</v>
      </c>
      <c r="AZ21" s="4">
        <f>SUM(B21*2)</f>
        <v>7000</v>
      </c>
      <c r="BE21" s="4">
        <v>1600</v>
      </c>
      <c r="BF21" s="4">
        <v>1008</v>
      </c>
      <c r="BG21" s="22">
        <v>-8</v>
      </c>
      <c r="BO21" s="4">
        <f>SUM(B21*2)</f>
        <v>7000</v>
      </c>
    </row>
    <row r="22" spans="1:148" x14ac:dyDescent="0.25">
      <c r="A22" s="46" t="s">
        <v>183</v>
      </c>
      <c r="B22" s="20">
        <v>30</v>
      </c>
      <c r="J22" s="4">
        <f>SUM(5*B22)</f>
        <v>150</v>
      </c>
      <c r="K22" s="4">
        <f>SUM(2*B22)</f>
        <v>60</v>
      </c>
      <c r="L22" s="4">
        <f>SUM(57*B22)</f>
        <v>1710</v>
      </c>
      <c r="N22" s="4">
        <f>SUM(2*B22)</f>
        <v>60</v>
      </c>
      <c r="O22" s="4">
        <f>SUM(B22*41)</f>
        <v>1230</v>
      </c>
      <c r="P22" s="4">
        <f>SUM(2*B22)</f>
        <v>60</v>
      </c>
      <c r="R22" s="4">
        <f>SUM(48*B22)</f>
        <v>1440</v>
      </c>
      <c r="S22" s="4">
        <f>SUM(2*B22)</f>
        <v>60</v>
      </c>
      <c r="T22" s="4">
        <f>SUM(2*B22)</f>
        <v>60</v>
      </c>
      <c r="W22" s="28">
        <f>SUM(B22*5)</f>
        <v>150</v>
      </c>
      <c r="X22" s="4">
        <f>SUM(1*B22)</f>
        <v>30</v>
      </c>
      <c r="Y22" s="4">
        <f>SUM(40*B22)</f>
        <v>1200</v>
      </c>
      <c r="Z22" s="4">
        <f>SUM(1*B22)</f>
        <v>30</v>
      </c>
      <c r="AD22" s="4">
        <f>SUM(1*B22)</f>
        <v>30</v>
      </c>
      <c r="AE22" s="4">
        <f>SUM(1*B22)</f>
        <v>30</v>
      </c>
      <c r="AH22" s="4">
        <f>SUM(1*B22)</f>
        <v>30</v>
      </c>
      <c r="AJ22" s="4">
        <f>SUM(3*B22)</f>
        <v>90</v>
      </c>
      <c r="AK22" s="4">
        <f>SUM(7*B22)</f>
        <v>210</v>
      </c>
      <c r="AL22" s="4">
        <f>SUM(B22*5)</f>
        <v>150</v>
      </c>
      <c r="AP22" s="4">
        <f>SUM(1*B22)</f>
        <v>30</v>
      </c>
      <c r="AW22" s="4">
        <f>SUM(2*B22)</f>
        <v>60</v>
      </c>
      <c r="BE22" s="4">
        <v>0</v>
      </c>
      <c r="BG22" s="22"/>
      <c r="CA22" s="4">
        <f>SUM(B22*4)</f>
        <v>120</v>
      </c>
      <c r="CJ22" s="4">
        <f>SUM(1*B22)</f>
        <v>30</v>
      </c>
    </row>
    <row r="23" spans="1:148" x14ac:dyDescent="0.25">
      <c r="A23" s="45" t="s">
        <v>142</v>
      </c>
      <c r="B23" s="20">
        <v>0</v>
      </c>
      <c r="C23" s="4">
        <f>SUM(2*B23)</f>
        <v>0</v>
      </c>
      <c r="E23" s="4">
        <f>SUM(1*B23)</f>
        <v>0</v>
      </c>
      <c r="L23" s="4" t="s">
        <v>37</v>
      </c>
      <c r="O23" s="4">
        <f>SUM(7*B23)</f>
        <v>0</v>
      </c>
      <c r="P23" s="4">
        <f>SUM(3*B23)</f>
        <v>0</v>
      </c>
      <c r="R23" s="4">
        <f>SUM(8*B23)</f>
        <v>0</v>
      </c>
      <c r="W23" s="4">
        <f>SUM(2*B23)</f>
        <v>0</v>
      </c>
      <c r="Y23" s="4">
        <f>SUM(4*B23)</f>
        <v>0</v>
      </c>
      <c r="Z23" s="4">
        <f>SUM(1*B23)</f>
        <v>0</v>
      </c>
      <c r="AH23" s="4">
        <f>SUM(1*B23)</f>
        <v>0</v>
      </c>
      <c r="AJ23" s="4">
        <f>SUM(1*B23)</f>
        <v>0</v>
      </c>
      <c r="AW23" s="4">
        <f>SUM(1*B23)</f>
        <v>0</v>
      </c>
      <c r="BE23" s="4">
        <v>0</v>
      </c>
      <c r="BG23" s="22"/>
      <c r="BR23" s="4">
        <f>SUM(1*B12)</f>
        <v>200</v>
      </c>
      <c r="BZ23" s="4">
        <f>SUM(1*B23)</f>
        <v>0</v>
      </c>
      <c r="CD23" s="4">
        <f>SUM(1*B23)</f>
        <v>0</v>
      </c>
      <c r="CH23" s="4">
        <f>SUM(1*B23)</f>
        <v>0</v>
      </c>
    </row>
    <row r="24" spans="1:148" x14ac:dyDescent="0.25">
      <c r="A24" s="45" t="s">
        <v>141</v>
      </c>
      <c r="B24" s="27">
        <v>100</v>
      </c>
      <c r="C24" s="4" t="s">
        <v>37</v>
      </c>
      <c r="I24" s="4">
        <f>SUM(2*B24)</f>
        <v>200</v>
      </c>
      <c r="L24" s="4">
        <f>SUM(5*B24)</f>
        <v>500</v>
      </c>
      <c r="O24" s="4">
        <f>SUM(4*B24)</f>
        <v>400</v>
      </c>
      <c r="P24" s="28">
        <f>SUM(3*B24)</f>
        <v>300</v>
      </c>
      <c r="R24" s="4">
        <f>SUM(7*B24)</f>
        <v>700</v>
      </c>
      <c r="W24" s="4">
        <f>SUM(2*B24)</f>
        <v>200</v>
      </c>
      <c r="Y24" s="4">
        <f>SUM(3*B24)</f>
        <v>300</v>
      </c>
      <c r="Z24" s="4">
        <f>SUM(1*B24)</f>
        <v>100</v>
      </c>
      <c r="AH24" s="4">
        <f>SUM(1*B24)</f>
        <v>100</v>
      </c>
      <c r="AJ24" s="4">
        <f>SUM(2*B24)</f>
        <v>200</v>
      </c>
      <c r="AQ24" s="4">
        <f>SUM(1*B24)</f>
        <v>100</v>
      </c>
      <c r="AW24" s="4">
        <f>SUM(1*B24)</f>
        <v>100</v>
      </c>
      <c r="BE24" s="4">
        <v>0</v>
      </c>
      <c r="BR24" s="4">
        <f>SUM(1*B24)</f>
        <v>100</v>
      </c>
      <c r="BZ24" s="4">
        <f>SUM(1*B24)</f>
        <v>100</v>
      </c>
      <c r="CA24" s="4">
        <f>SUM(B24*2)</f>
        <v>200</v>
      </c>
      <c r="CD24" s="4">
        <f>SUM(1*B24)</f>
        <v>100</v>
      </c>
      <c r="CL24" s="4">
        <f>SUM(7*B24)</f>
        <v>700</v>
      </c>
      <c r="CN24" s="4">
        <f>SUM(1*B24)</f>
        <v>100</v>
      </c>
      <c r="DL24" s="4">
        <f>SUM(B24*1)</f>
        <v>100</v>
      </c>
      <c r="DN24" s="4">
        <f>SUM(B24*1)</f>
        <v>100</v>
      </c>
      <c r="DT24" s="4">
        <f>SUM(B24*2)</f>
        <v>200</v>
      </c>
    </row>
    <row r="25" spans="1:148" x14ac:dyDescent="0.25">
      <c r="A25" s="45" t="s">
        <v>211</v>
      </c>
      <c r="B25" s="27">
        <v>300</v>
      </c>
      <c r="C25" s="4">
        <f>SUM(1*B25)</f>
        <v>300</v>
      </c>
      <c r="I25" s="4">
        <f>SUM(2*B25)</f>
        <v>600</v>
      </c>
      <c r="L25" s="4">
        <f>SUM(6*B25)</f>
        <v>1800</v>
      </c>
      <c r="N25" s="3"/>
      <c r="O25" s="3">
        <f>SUM(4*B25)</f>
        <v>1200</v>
      </c>
      <c r="P25" s="3">
        <f>SUM(3*B25)</f>
        <v>900</v>
      </c>
      <c r="Q25" s="3"/>
      <c r="R25" s="3">
        <f>SUM(8*B25)</f>
        <v>2400</v>
      </c>
      <c r="S25" s="3"/>
      <c r="T25" s="3"/>
      <c r="U25" s="3"/>
      <c r="V25" s="3"/>
      <c r="W25" s="3">
        <f>SUM(2*B25)</f>
        <v>600</v>
      </c>
      <c r="X25" s="3"/>
      <c r="Y25" s="3">
        <f>SUM(3*B25)</f>
        <v>900</v>
      </c>
      <c r="Z25" s="3">
        <f>SUM(1*B25)</f>
        <v>300</v>
      </c>
      <c r="AA25" s="3"/>
      <c r="AB25" s="3"/>
      <c r="AH25" s="4">
        <f>SUM(1*B25)</f>
        <v>300</v>
      </c>
      <c r="AJ25" s="4">
        <f>SUM(1*B25)</f>
        <v>300</v>
      </c>
      <c r="AW25" s="4">
        <f>SUM(1*B25)</f>
        <v>300</v>
      </c>
      <c r="BE25" s="4">
        <v>0</v>
      </c>
      <c r="BX25" s="29"/>
      <c r="BZ25" s="4">
        <f>SUM(1*B25)</f>
        <v>300</v>
      </c>
      <c r="CA25" s="4">
        <f>SUM(2*B25)</f>
        <v>600</v>
      </c>
      <c r="CH25" s="4">
        <f>SUM(1*B25)</f>
        <v>300</v>
      </c>
      <c r="CN25" s="4">
        <f>SUM(1*B6)</f>
        <v>500</v>
      </c>
      <c r="DL25" s="4">
        <f>SUM(1*B25)</f>
        <v>300</v>
      </c>
    </row>
    <row r="26" spans="1:148" ht="15.75" x14ac:dyDescent="0.25">
      <c r="A26" s="47" t="s">
        <v>188</v>
      </c>
      <c r="B26" s="27">
        <v>0</v>
      </c>
      <c r="K26" s="4">
        <f>SUM(B26*2)</f>
        <v>0</v>
      </c>
      <c r="L26" s="4">
        <f>SUM(B26*23)</f>
        <v>0</v>
      </c>
      <c r="N26" s="4">
        <f>SUM(B26*2)</f>
        <v>0</v>
      </c>
      <c r="O26" s="4">
        <f>SUM(B26*20)</f>
        <v>0</v>
      </c>
      <c r="P26" s="4">
        <f>SUM(B26*2)</f>
        <v>0</v>
      </c>
      <c r="R26" s="4">
        <f>SUM(B26*25)</f>
        <v>0</v>
      </c>
      <c r="W26" s="4">
        <f>SUM(B26*4)</f>
        <v>0</v>
      </c>
      <c r="X26" s="4">
        <f>SUM(B26*3)</f>
        <v>0</v>
      </c>
      <c r="Z26" s="3">
        <f>SUM(B26*1)</f>
        <v>0</v>
      </c>
      <c r="AA26" s="3"/>
      <c r="AB26" s="3">
        <f>SUM(B26*1)</f>
        <v>0</v>
      </c>
      <c r="AC26" s="1"/>
      <c r="AD26" s="30"/>
      <c r="AE26" s="30">
        <f>SUM(B26*1)</f>
        <v>0</v>
      </c>
      <c r="AF26" s="30"/>
      <c r="AG26" s="1"/>
      <c r="AH26" s="30">
        <f>SUM(B26*1)</f>
        <v>0</v>
      </c>
      <c r="AI26" s="1"/>
      <c r="AJ26" s="30">
        <f>SUM(B26*3)</f>
        <v>0</v>
      </c>
      <c r="AK26" s="1"/>
      <c r="AL26" s="1"/>
      <c r="AM26" s="1"/>
      <c r="AN26" s="1"/>
      <c r="AO26" s="1"/>
      <c r="AP26" s="30"/>
      <c r="AQ26" s="1">
        <f>SUM(B26*3)</f>
        <v>0</v>
      </c>
      <c r="AR26" s="1"/>
      <c r="AS26" s="1"/>
      <c r="AT26" s="1"/>
      <c r="AU26" s="1"/>
      <c r="AV26" s="1"/>
      <c r="AW26" s="1">
        <f>SUM(B26*4)</f>
        <v>0</v>
      </c>
      <c r="AX26" s="1"/>
      <c r="AY26" s="1"/>
      <c r="AZ26" s="30"/>
      <c r="BA26" s="1"/>
      <c r="BB26" s="1"/>
      <c r="BC26" s="30"/>
      <c r="BD26" s="1">
        <f>SUM(B26*1)</f>
        <v>0</v>
      </c>
      <c r="BI26" s="1"/>
      <c r="BJ26" s="1"/>
      <c r="BK26" s="1"/>
      <c r="BL26" s="1"/>
      <c r="BM26" s="1"/>
      <c r="BN26" s="1"/>
      <c r="BO26" s="30">
        <f>SUM(B26*2)</f>
        <v>0</v>
      </c>
      <c r="BP26" s="3"/>
      <c r="BQ26" s="30"/>
      <c r="BR26" s="1">
        <f>SUM(B26*1)</f>
        <v>0</v>
      </c>
      <c r="BS26" s="3"/>
      <c r="BT26" s="30"/>
      <c r="BU26" s="1"/>
      <c r="BV26" s="1"/>
      <c r="BW26" s="1"/>
      <c r="BX26" s="1"/>
      <c r="BY26" s="30"/>
      <c r="BZ26" s="1">
        <f>SUM(B26*1)</f>
        <v>0</v>
      </c>
      <c r="CA26" s="1">
        <f>SUM(B26*6)</f>
        <v>0</v>
      </c>
      <c r="CB26" s="1"/>
      <c r="CD26" s="4">
        <f>SUM(B26*1)</f>
        <v>0</v>
      </c>
      <c r="DA26" s="4">
        <f>SUM(B26*1)</f>
        <v>0</v>
      </c>
      <c r="DU26" s="4">
        <f>SUM(B26*1)</f>
        <v>0</v>
      </c>
      <c r="DW26" s="4">
        <f>SUM(B26*4)</f>
        <v>0</v>
      </c>
      <c r="EL26" s="4">
        <f>SUM(B26*18)</f>
        <v>0</v>
      </c>
      <c r="EN26" s="4">
        <f>SUM(B26*2)</f>
        <v>0</v>
      </c>
      <c r="EO26" s="4">
        <f>SUM(B26*6)</f>
        <v>0</v>
      </c>
      <c r="EP26" s="4">
        <f>SUM(B26*1)</f>
        <v>0</v>
      </c>
      <c r="ER26" s="4">
        <f>SUM(5*B26)</f>
        <v>0</v>
      </c>
    </row>
    <row r="27" spans="1:148" x14ac:dyDescent="0.25">
      <c r="A27" s="45" t="s">
        <v>97</v>
      </c>
      <c r="B27" s="20">
        <v>0</v>
      </c>
      <c r="C27" s="4">
        <f>SUM(1*B27)</f>
        <v>0</v>
      </c>
      <c r="E27" s="4">
        <f>SUM(B27*1)</f>
        <v>0</v>
      </c>
      <c r="F27" s="4">
        <f>SUM(B27*2)</f>
        <v>0</v>
      </c>
      <c r="K27" s="4">
        <f>SUM(1*B27)</f>
        <v>0</v>
      </c>
      <c r="L27" s="4">
        <f>SUM(8*B27)</f>
        <v>0</v>
      </c>
      <c r="M27" s="3"/>
      <c r="N27" s="3">
        <f>SUM(1*B27)</f>
        <v>0</v>
      </c>
      <c r="O27" s="3">
        <f>SUM(B27*8)</f>
        <v>0</v>
      </c>
      <c r="P27" s="3">
        <f>SUM(3*B27)</f>
        <v>0</v>
      </c>
      <c r="Q27" s="3"/>
      <c r="R27" s="3">
        <f>SUM(17*B27)</f>
        <v>0</v>
      </c>
      <c r="S27" s="3"/>
      <c r="T27" s="3"/>
      <c r="U27" s="3"/>
      <c r="V27" s="3">
        <f>SUM(4*B27)</f>
        <v>0</v>
      </c>
      <c r="W27" s="3">
        <f>SUM(5*B27)</f>
        <v>0</v>
      </c>
      <c r="X27" s="4">
        <f>SUM(B27*1)</f>
        <v>0</v>
      </c>
      <c r="Y27" s="4">
        <f>SUM(B27*4)</f>
        <v>0</v>
      </c>
      <c r="Z27" s="31">
        <f>SUM(1*B27)</f>
        <v>0</v>
      </c>
      <c r="AE27" s="4">
        <f>SUM(1*B27)</f>
        <v>0</v>
      </c>
      <c r="AH27" s="4">
        <f t="shared" ref="AH27:AH43" si="1">SUM(1*B27)</f>
        <v>0</v>
      </c>
      <c r="AJ27" s="4">
        <f>SUM(1*B27)</f>
        <v>0</v>
      </c>
      <c r="AW27" s="4">
        <f>SUM(2*B27)</f>
        <v>0</v>
      </c>
      <c r="AY27" s="4">
        <f>SUM(1*B27)</f>
        <v>0</v>
      </c>
      <c r="BE27" s="4">
        <v>0</v>
      </c>
      <c r="BI27" s="22"/>
      <c r="BJ27" s="22"/>
      <c r="BK27" s="22"/>
      <c r="BL27" s="22"/>
      <c r="BM27" s="22"/>
      <c r="BR27" s="4">
        <f>SUM(1*B27)</f>
        <v>0</v>
      </c>
      <c r="BU27" s="4">
        <f>SUM(1*B27)</f>
        <v>0</v>
      </c>
      <c r="BV27" s="4">
        <f>SUM(B27*1)</f>
        <v>0</v>
      </c>
      <c r="BZ27" s="4">
        <f>SUM(2*B27)</f>
        <v>0</v>
      </c>
      <c r="CA27" s="4">
        <f>SUM(B27*4)</f>
        <v>0</v>
      </c>
      <c r="CD27" s="4">
        <f>SUM(B27*1)</f>
        <v>0</v>
      </c>
      <c r="CP27" s="4">
        <f>SUM(1*B27)</f>
        <v>0</v>
      </c>
      <c r="CR27" s="4">
        <f>SUM(1*B27)</f>
        <v>0</v>
      </c>
      <c r="CX27" s="4">
        <f>SUM(B27*1)</f>
        <v>0</v>
      </c>
      <c r="CZ27" s="4">
        <f>SUM(B27*1)</f>
        <v>0</v>
      </c>
      <c r="EF27" s="4">
        <f>SUM(B27*1)</f>
        <v>0</v>
      </c>
      <c r="EH27" s="4">
        <f>SUM(B27*1)</f>
        <v>0</v>
      </c>
      <c r="EK27" s="4">
        <f>SUM(B27*2)</f>
        <v>0</v>
      </c>
    </row>
    <row r="28" spans="1:148" x14ac:dyDescent="0.25">
      <c r="A28" s="48" t="s">
        <v>176</v>
      </c>
      <c r="B28" s="27">
        <v>500</v>
      </c>
      <c r="G28" s="4">
        <f>SUM(2*B28)</f>
        <v>1000</v>
      </c>
      <c r="I28" s="4">
        <f>SUM(P4:P43)</f>
        <v>167864</v>
      </c>
      <c r="K28" s="4">
        <f>SUM(2*B28)</f>
        <v>1000</v>
      </c>
      <c r="L28" s="4">
        <f>SUM(12*B28)</f>
        <v>6000</v>
      </c>
      <c r="N28" s="3">
        <f>SUM(4*B28)</f>
        <v>2000</v>
      </c>
      <c r="O28" s="3">
        <f>SUM(8*B28)</f>
        <v>4000</v>
      </c>
      <c r="P28" s="3">
        <f>SUM(9*B28)</f>
        <v>4500</v>
      </c>
      <c r="Q28" s="3"/>
      <c r="R28" s="3">
        <f>SUM(19*B28)</f>
        <v>9500</v>
      </c>
      <c r="S28" s="3"/>
      <c r="T28" s="3"/>
      <c r="U28" s="3"/>
      <c r="V28" s="3"/>
      <c r="W28" s="3">
        <f>SUM(4*B28)</f>
        <v>2000</v>
      </c>
      <c r="X28" s="3">
        <f>SUM(1*B28)</f>
        <v>500</v>
      </c>
      <c r="Y28" s="3">
        <f>SUM(8*B28)</f>
        <v>4000</v>
      </c>
      <c r="Z28" s="3">
        <f>SUM(1*B28)</f>
        <v>500</v>
      </c>
      <c r="AA28" s="3"/>
      <c r="AB28" s="3"/>
      <c r="AC28" s="3"/>
      <c r="AD28" s="3"/>
      <c r="AE28" s="3">
        <f>SUM(1*B28)</f>
        <v>500</v>
      </c>
      <c r="AF28" s="3"/>
      <c r="AG28" s="3"/>
      <c r="AH28" s="3">
        <f t="shared" si="1"/>
        <v>500</v>
      </c>
      <c r="AI28" s="3"/>
      <c r="AJ28" s="3">
        <f>SUM(1*B28)</f>
        <v>500</v>
      </c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>
        <f>SUM(4*B28)</f>
        <v>2000</v>
      </c>
      <c r="AX28" s="3"/>
      <c r="AY28" s="3"/>
      <c r="AZ28" s="3"/>
      <c r="BA28" s="3"/>
      <c r="BB28" s="3"/>
      <c r="BC28" s="3"/>
      <c r="BD28" s="3"/>
      <c r="BE28" s="3">
        <v>400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>
        <f>SUM(1*B28)</f>
        <v>500</v>
      </c>
      <c r="BS28" s="3"/>
      <c r="BT28" s="3"/>
      <c r="BU28" s="3"/>
      <c r="BV28" s="3"/>
      <c r="BW28" s="3"/>
      <c r="BX28" s="3"/>
      <c r="BY28" s="3"/>
      <c r="BZ28" s="3">
        <f>SUM(1*B28)</f>
        <v>500</v>
      </c>
      <c r="CA28" s="3">
        <f>SUM(B28*6)</f>
        <v>3000</v>
      </c>
      <c r="CB28" s="3"/>
      <c r="CC28" s="3"/>
      <c r="CD28" s="3">
        <f>SUM(1*B28)</f>
        <v>500</v>
      </c>
      <c r="CE28" s="3"/>
      <c r="CF28" s="3"/>
      <c r="CG28" s="3"/>
      <c r="DA28" s="4">
        <f>SUM(1*B28)</f>
        <v>500</v>
      </c>
    </row>
    <row r="29" spans="1:148" x14ac:dyDescent="0.25">
      <c r="A29" s="48" t="s">
        <v>104</v>
      </c>
      <c r="B29" s="27">
        <v>500</v>
      </c>
      <c r="C29" s="4">
        <f>SUM(B29*14)</f>
        <v>7000</v>
      </c>
      <c r="G29" s="4">
        <f>SUM(4*B29)</f>
        <v>2000</v>
      </c>
      <c r="K29" s="4">
        <f>SUM(14*B29)</f>
        <v>7000</v>
      </c>
      <c r="L29" s="4">
        <f>SUM(14*B29)</f>
        <v>7000</v>
      </c>
      <c r="M29" s="4">
        <f>SUM(8*B29)</f>
        <v>4000</v>
      </c>
      <c r="N29" s="4">
        <f>SUM(55*B29)</f>
        <v>27500</v>
      </c>
      <c r="O29" s="4">
        <f>SUM(8*B29)</f>
        <v>4000</v>
      </c>
      <c r="P29" s="3">
        <f>SUM(20*B29)</f>
        <v>10000</v>
      </c>
      <c r="R29" s="4">
        <f>SUM(44*B29)</f>
        <v>22000</v>
      </c>
      <c r="S29" s="4">
        <f>SUM(B29*2)</f>
        <v>1000</v>
      </c>
      <c r="T29" s="4">
        <f>SUM(B29*2)</f>
        <v>1000</v>
      </c>
      <c r="W29" s="4">
        <f>SUM(39*B29)</f>
        <v>19500</v>
      </c>
      <c r="X29" s="4">
        <f>SUM(1*B29)</f>
        <v>500</v>
      </c>
      <c r="Y29" s="4">
        <f>SUM(B29*24)</f>
        <v>12000</v>
      </c>
      <c r="Z29" s="3">
        <f>SUM(26*B29)</f>
        <v>13000</v>
      </c>
      <c r="AB29" s="4">
        <f>SUM(12*B29)</f>
        <v>6000</v>
      </c>
      <c r="AE29" s="4">
        <f>SUM(1*B29)</f>
        <v>500</v>
      </c>
      <c r="AG29" s="4">
        <f>SUM(1*B29)</f>
        <v>500</v>
      </c>
      <c r="AH29" s="4">
        <f t="shared" si="1"/>
        <v>500</v>
      </c>
      <c r="AI29" s="4">
        <f>SUM(B29*1)</f>
        <v>500</v>
      </c>
      <c r="AJ29" s="4">
        <f>SUM(1*B29)</f>
        <v>500</v>
      </c>
      <c r="AK29" s="4">
        <f>SUM(4*B29)</f>
        <v>2000</v>
      </c>
      <c r="AO29" s="4">
        <f>SUM(3*B29)</f>
        <v>1500</v>
      </c>
      <c r="AQ29" s="4">
        <f>SUM(1*B29)</f>
        <v>500</v>
      </c>
      <c r="AW29" s="4">
        <f>SUM(7*B29)</f>
        <v>3500</v>
      </c>
      <c r="BE29" s="4">
        <v>300</v>
      </c>
      <c r="BR29" s="4">
        <f>SUM(1*B29)</f>
        <v>500</v>
      </c>
      <c r="BS29" s="4">
        <f>SUM(1*B29)</f>
        <v>500</v>
      </c>
      <c r="BY29" s="4">
        <f>SUM(B29*1)</f>
        <v>500</v>
      </c>
      <c r="CA29" s="4">
        <f>SUM(10*B29)</f>
        <v>5000</v>
      </c>
      <c r="DC29" s="4">
        <f>SUM(1*B29)</f>
        <v>500</v>
      </c>
      <c r="DF29" s="4">
        <f>SUM(B29*18)</f>
        <v>9000</v>
      </c>
    </row>
    <row r="30" spans="1:148" x14ac:dyDescent="0.25">
      <c r="A30" s="48" t="s">
        <v>140</v>
      </c>
      <c r="B30" s="27">
        <v>1880</v>
      </c>
      <c r="C30" s="22">
        <f>SUM(1*B30)</f>
        <v>1880</v>
      </c>
      <c r="G30" s="4">
        <f>SUM(1*B30)</f>
        <v>1880</v>
      </c>
      <c r="I30" s="4">
        <f>SUM(B30*2)</f>
        <v>3760</v>
      </c>
      <c r="K30" s="4">
        <f>SUM(1*B30)</f>
        <v>1880</v>
      </c>
      <c r="L30" s="4">
        <f>SUM(5*B30)</f>
        <v>9400</v>
      </c>
      <c r="O30" s="4">
        <f>SUM(4*B30)</f>
        <v>7520</v>
      </c>
      <c r="P30" s="4">
        <f>SUM(3*B30)</f>
        <v>5640</v>
      </c>
      <c r="R30" s="4">
        <f>SUM(7*B30)</f>
        <v>13160</v>
      </c>
      <c r="W30" s="4">
        <f>SUM(2*B30)</f>
        <v>3760</v>
      </c>
      <c r="Y30" s="4">
        <f>SUM(B30*3)</f>
        <v>5640</v>
      </c>
      <c r="Z30" s="3">
        <f>SUM(1*B30)</f>
        <v>1880</v>
      </c>
      <c r="AH30" s="4">
        <f t="shared" si="1"/>
        <v>1880</v>
      </c>
      <c r="AJ30" s="4">
        <f>SUM(2*B30)</f>
        <v>3760</v>
      </c>
      <c r="AQ30" s="4">
        <f>SUM(B30*1)</f>
        <v>1880</v>
      </c>
      <c r="AW30" s="4">
        <f>SUM(1*B30)</f>
        <v>1880</v>
      </c>
      <c r="BD30" s="4">
        <f>SUM(B30*1)</f>
        <v>1880</v>
      </c>
      <c r="BE30" s="4">
        <v>2500</v>
      </c>
      <c r="BO30" s="4">
        <f>SUM(B30*1)</f>
        <v>1880</v>
      </c>
      <c r="BR30" s="4">
        <f>SUM(1*B30)</f>
        <v>1880</v>
      </c>
      <c r="BZ30" s="4">
        <f>SUM(1*B30)</f>
        <v>1880</v>
      </c>
      <c r="CA30" s="4">
        <f>SUM(2*B30)</f>
        <v>3760</v>
      </c>
      <c r="CD30" s="4">
        <f>SUM(B30*1)</f>
        <v>1880</v>
      </c>
      <c r="CL30" s="4">
        <f>SUM(7*B30)</f>
        <v>13160</v>
      </c>
      <c r="DH30" s="4">
        <f>SUM(B30*1)</f>
        <v>1880</v>
      </c>
      <c r="DT30" s="4">
        <f>SUM(B30*2)</f>
        <v>3760</v>
      </c>
    </row>
    <row r="31" spans="1:148" x14ac:dyDescent="0.25">
      <c r="A31" s="48" t="s">
        <v>136</v>
      </c>
      <c r="B31" s="27">
        <v>30</v>
      </c>
      <c r="E31" s="4">
        <f>SUM(B31*11)</f>
        <v>330</v>
      </c>
      <c r="I31" s="4">
        <f>MAX(10*B31)</f>
        <v>300</v>
      </c>
      <c r="K31" s="4">
        <f>SUM(B31*30)</f>
        <v>900</v>
      </c>
      <c r="L31" s="28">
        <f>SUM(15*B31)</f>
        <v>450</v>
      </c>
      <c r="M31" s="4">
        <f>SUM(B31*18)</f>
        <v>540</v>
      </c>
      <c r="N31" s="4">
        <f>SUM(40*B31)</f>
        <v>1200</v>
      </c>
      <c r="O31" s="4">
        <f>MAX(20*B31)</f>
        <v>600</v>
      </c>
      <c r="P31" s="4">
        <f>MAX(19*B31)</f>
        <v>570</v>
      </c>
      <c r="R31" s="4">
        <f>MAX(34*B31)</f>
        <v>1020</v>
      </c>
      <c r="S31" s="4">
        <f>SUM(B31*2)</f>
        <v>60</v>
      </c>
      <c r="U31" s="4">
        <f>SUM(B31*1)</f>
        <v>30</v>
      </c>
      <c r="W31" s="4">
        <f>MAX(33*B31)</f>
        <v>990</v>
      </c>
      <c r="X31" s="4">
        <f>SUM(15*B31)</f>
        <v>450</v>
      </c>
      <c r="Y31" s="4">
        <f>MAX(18*B31)</f>
        <v>540</v>
      </c>
      <c r="Z31" s="3">
        <f>SUM(1*B31)</f>
        <v>30</v>
      </c>
      <c r="AA31" s="4">
        <f>SUM(18*B31)</f>
        <v>540</v>
      </c>
      <c r="AD31" s="4">
        <f>SUM(1*B31)</f>
        <v>30</v>
      </c>
      <c r="AE31" s="4">
        <f>SUM(1*B30)</f>
        <v>1880</v>
      </c>
      <c r="AG31" s="4">
        <f>SUM(1*B31)</f>
        <v>30</v>
      </c>
      <c r="AH31" s="4">
        <f t="shared" si="1"/>
        <v>30</v>
      </c>
      <c r="AI31" s="4">
        <f>SUM(B31*1)</f>
        <v>30</v>
      </c>
      <c r="AJ31" s="4">
        <f>SUM(4*B31)</f>
        <v>120</v>
      </c>
      <c r="AK31" s="4">
        <f>SUM(5*B31)</f>
        <v>150</v>
      </c>
      <c r="AQ31" s="4">
        <f>SUM(B31*12)</f>
        <v>360</v>
      </c>
      <c r="AR31" s="4">
        <f>SUM(B31*1)</f>
        <v>30</v>
      </c>
      <c r="AT31" s="4">
        <f>SUM(BC4:BC43)</f>
        <v>500</v>
      </c>
      <c r="AW31" s="4">
        <f>MAX(4*B31)</f>
        <v>120</v>
      </c>
      <c r="AX31" s="4">
        <f>SUM(B31*1)</f>
        <v>30</v>
      </c>
      <c r="AY31" s="4">
        <f>SUM(B31*13)</f>
        <v>390</v>
      </c>
      <c r="BE31" s="4">
        <v>100</v>
      </c>
    </row>
    <row r="32" spans="1:148" x14ac:dyDescent="0.25">
      <c r="A32" s="48" t="s">
        <v>212</v>
      </c>
      <c r="B32" s="27">
        <v>1320</v>
      </c>
      <c r="C32" s="4">
        <f>SUM(B32*1)</f>
        <v>1320</v>
      </c>
      <c r="E32" s="4">
        <f>SUM(B32*1)</f>
        <v>1320</v>
      </c>
      <c r="I32" s="4">
        <f>SUM(B32*2)</f>
        <v>2640</v>
      </c>
      <c r="K32" s="4">
        <f>SUM(B32*1)</f>
        <v>1320</v>
      </c>
      <c r="L32" s="4">
        <f>SUM(B32*6)</f>
        <v>7920</v>
      </c>
      <c r="O32" s="4">
        <f>SUM(B32*7)</f>
        <v>9240</v>
      </c>
      <c r="P32" s="4">
        <f>SUM(B32*3)</f>
        <v>3960</v>
      </c>
      <c r="R32" s="4">
        <f>SUM(B32*8)</f>
        <v>10560</v>
      </c>
      <c r="W32" s="4">
        <f>SUM(B32*2)</f>
        <v>2640</v>
      </c>
      <c r="Y32" s="4">
        <f>SUM(B32*4)</f>
        <v>5280</v>
      </c>
      <c r="Z32" s="3">
        <f>SUM(1*B32)</f>
        <v>1320</v>
      </c>
      <c r="AA32" s="32"/>
      <c r="AH32" s="4">
        <f t="shared" si="1"/>
        <v>1320</v>
      </c>
      <c r="AJ32" s="4">
        <f>SUM(B32*1)</f>
        <v>1320</v>
      </c>
      <c r="BE32" s="4">
        <v>3300</v>
      </c>
      <c r="BR32" s="4">
        <f>SUM(1*B32)</f>
        <v>1320</v>
      </c>
      <c r="BZ32" s="4">
        <f>SUM(B32*1)</f>
        <v>1320</v>
      </c>
      <c r="CA32" s="4">
        <f>SUM(B32*2)</f>
        <v>2640</v>
      </c>
      <c r="CD32" s="4">
        <f>SUM(B32*1)</f>
        <v>1320</v>
      </c>
      <c r="CH32" s="4">
        <f>SUM(B32*1)</f>
        <v>1320</v>
      </c>
    </row>
    <row r="33" spans="1:163" x14ac:dyDescent="0.25">
      <c r="A33" s="48" t="s">
        <v>139</v>
      </c>
      <c r="B33" s="27">
        <v>290</v>
      </c>
      <c r="C33" s="4">
        <f>SUM(B33*1)</f>
        <v>290</v>
      </c>
      <c r="E33" s="4">
        <f>SUM(B33*1)</f>
        <v>290</v>
      </c>
      <c r="I33" s="4">
        <f>SUM(B33*2)</f>
        <v>580</v>
      </c>
      <c r="L33" s="4">
        <f>SUM(6*B33)</f>
        <v>1740</v>
      </c>
      <c r="O33" s="4">
        <f>SUM(B33*7)</f>
        <v>2030</v>
      </c>
      <c r="P33" s="4">
        <f>SUM(3*B33)</f>
        <v>870</v>
      </c>
      <c r="R33" s="4">
        <f>SUM(B33*8)</f>
        <v>2320</v>
      </c>
      <c r="W33" s="4">
        <f>SUM(2*B33)</f>
        <v>580</v>
      </c>
      <c r="Y33" s="4">
        <f>SUM(B33*4)</f>
        <v>1160</v>
      </c>
      <c r="Z33" s="3">
        <f>SUM(1*B33)</f>
        <v>290</v>
      </c>
      <c r="AH33" s="4">
        <f t="shared" si="1"/>
        <v>290</v>
      </c>
      <c r="AJ33" s="4">
        <f>SUM(1*B33)</f>
        <v>290</v>
      </c>
      <c r="AN33" s="21"/>
      <c r="AW33" s="4">
        <f>SUM(B33*1)</f>
        <v>290</v>
      </c>
      <c r="BE33" s="4">
        <v>0</v>
      </c>
      <c r="BR33" s="4">
        <f>SUM(2*B33)</f>
        <v>580</v>
      </c>
      <c r="BZ33" s="4">
        <f>SUM(1*B33)</f>
        <v>290</v>
      </c>
      <c r="CA33" s="4">
        <f>SUM(B33*2)</f>
        <v>580</v>
      </c>
      <c r="CD33" s="4">
        <f>SUM(B33*1)</f>
        <v>290</v>
      </c>
      <c r="CH33" s="4">
        <f>SUM(1*B33)</f>
        <v>290</v>
      </c>
    </row>
    <row r="34" spans="1:163" x14ac:dyDescent="0.25">
      <c r="A34" s="48" t="s">
        <v>156</v>
      </c>
      <c r="B34" s="27">
        <v>0</v>
      </c>
      <c r="C34" s="4">
        <f>SUM(2*B34)</f>
        <v>0</v>
      </c>
      <c r="G34" s="4">
        <f>SUM(7*B34)</f>
        <v>0</v>
      </c>
      <c r="K34" s="4">
        <f>SUM(17*B34)</f>
        <v>0</v>
      </c>
      <c r="L34" s="4">
        <f>SUM(17*B34)</f>
        <v>0</v>
      </c>
      <c r="N34" s="4">
        <f>SUM(59*B34)</f>
        <v>0</v>
      </c>
      <c r="O34" s="4">
        <f>SUM(11*B34)</f>
        <v>0</v>
      </c>
      <c r="P34" s="4">
        <f>SUM(20*B34)</f>
        <v>0</v>
      </c>
      <c r="R34" s="4">
        <f>SUM(50*B34)</f>
        <v>0</v>
      </c>
      <c r="S34" s="4">
        <f>SUM(2*B34)</f>
        <v>0</v>
      </c>
      <c r="T34" s="4">
        <f>SUM(2*B34)</f>
        <v>0</v>
      </c>
      <c r="W34" s="4">
        <f>SUM(41*B34)</f>
        <v>0</v>
      </c>
      <c r="X34" s="4">
        <f>SUM(1*B34)</f>
        <v>0</v>
      </c>
      <c r="Y34" s="4">
        <f>SUM(22*B34)</f>
        <v>0</v>
      </c>
      <c r="Z34" s="3">
        <f>SUM(13*B34)</f>
        <v>0</v>
      </c>
      <c r="AB34" s="4">
        <f>SUM(10*B34)</f>
        <v>0</v>
      </c>
      <c r="AE34" s="4">
        <f>SUM(1*B34)</f>
        <v>0</v>
      </c>
      <c r="AG34" s="4">
        <f>SUM(1*B34)</f>
        <v>0</v>
      </c>
      <c r="AH34" s="4">
        <f t="shared" si="1"/>
        <v>0</v>
      </c>
      <c r="AI34" s="4">
        <f>SUM(1*B34)</f>
        <v>0</v>
      </c>
      <c r="AJ34" s="4">
        <f>SUM(1*B34)</f>
        <v>0</v>
      </c>
      <c r="AK34" s="4">
        <f>SUM(4*B34)</f>
        <v>0</v>
      </c>
      <c r="AO34" s="4">
        <f>SUM(8*B34)</f>
        <v>0</v>
      </c>
      <c r="AQ34" s="4">
        <f>SUM(4*B34)</f>
        <v>0</v>
      </c>
      <c r="AW34" s="4">
        <f>SUM(10*B34)</f>
        <v>0</v>
      </c>
      <c r="BR34" s="4">
        <f>SUM(1*B34)</f>
        <v>0</v>
      </c>
      <c r="BS34" s="4">
        <f>SUM(1*B34)</f>
        <v>0</v>
      </c>
      <c r="BY34" s="4">
        <f>SUM(1*B34)</f>
        <v>0</v>
      </c>
      <c r="CA34" s="4">
        <f>SUM(20*B34)</f>
        <v>0</v>
      </c>
      <c r="DC34" s="4">
        <f>SUM(1*B34)</f>
        <v>0</v>
      </c>
      <c r="DF34" s="4">
        <f>SUM(22*B34)</f>
        <v>0</v>
      </c>
      <c r="DG34" s="4">
        <f>SUM(2*B34)</f>
        <v>0</v>
      </c>
      <c r="DU34" s="4">
        <f>SUM(1*B34)</f>
        <v>0</v>
      </c>
    </row>
    <row r="35" spans="1:163" x14ac:dyDescent="0.25">
      <c r="A35" s="49" t="s">
        <v>175</v>
      </c>
      <c r="B35" s="27">
        <v>0</v>
      </c>
      <c r="K35" s="4">
        <f>SUM(8*B35)</f>
        <v>0</v>
      </c>
      <c r="L35" s="4">
        <f>SUM(6*B35)</f>
        <v>0</v>
      </c>
      <c r="N35" s="4">
        <f>SUM(32*B35)</f>
        <v>0</v>
      </c>
      <c r="O35" s="4">
        <f>SUM(20*B35)</f>
        <v>0</v>
      </c>
      <c r="P35" s="4">
        <f>SUM(7*B35)</f>
        <v>0</v>
      </c>
      <c r="R35" s="4">
        <f>SUM(27*B35)</f>
        <v>0</v>
      </c>
      <c r="W35" s="4">
        <f>SUM(23*B35)</f>
        <v>0</v>
      </c>
      <c r="X35" s="4">
        <f>SUM(1*B35)</f>
        <v>0</v>
      </c>
      <c r="Y35" s="4">
        <f>SUM(6*B35)</f>
        <v>0</v>
      </c>
      <c r="Z35" s="4">
        <f>SUM(9*B35)</f>
        <v>0</v>
      </c>
      <c r="AB35" s="4">
        <f>SUM(14*B35)</f>
        <v>0</v>
      </c>
      <c r="AE35" s="4">
        <f>SUM(1*B35)</f>
        <v>0</v>
      </c>
      <c r="AH35" s="4">
        <f t="shared" si="1"/>
        <v>0</v>
      </c>
      <c r="AK35" s="4">
        <f>SUM(1*B35)</f>
        <v>0</v>
      </c>
      <c r="AQ35" s="4">
        <f>SUM(4*B35)</f>
        <v>0</v>
      </c>
      <c r="AW35" s="4">
        <f>SUM(5*B35)</f>
        <v>0</v>
      </c>
      <c r="BR35" s="4">
        <f>SUM(1*B35)</f>
        <v>0</v>
      </c>
      <c r="BZ35" s="4">
        <f>SUM(1*B35)</f>
        <v>0</v>
      </c>
      <c r="CA35" s="4">
        <f>SUM(10*B35)</f>
        <v>0</v>
      </c>
      <c r="CD35" s="4">
        <f>SUM(1*B35)</f>
        <v>0</v>
      </c>
      <c r="CP35" s="4">
        <f>SUM(1*B35)</f>
        <v>0</v>
      </c>
      <c r="DF35" s="4">
        <f>SUM(12*B35)</f>
        <v>0</v>
      </c>
      <c r="DU35" s="4">
        <f>SUM(1*B35)</f>
        <v>0</v>
      </c>
      <c r="DW35" s="4">
        <f>SUM(5*B35)</f>
        <v>0</v>
      </c>
    </row>
    <row r="36" spans="1:163" x14ac:dyDescent="0.25">
      <c r="A36" s="48" t="s">
        <v>163</v>
      </c>
      <c r="B36" s="27">
        <v>30</v>
      </c>
      <c r="K36" s="4">
        <f>SUM(9*B36)</f>
        <v>270</v>
      </c>
      <c r="L36" s="4">
        <f>SUM(25*B36)</f>
        <v>750</v>
      </c>
      <c r="M36" s="4">
        <f>SUM(B36*12)</f>
        <v>360</v>
      </c>
      <c r="N36" s="4">
        <f>SUM(3*B36)</f>
        <v>90</v>
      </c>
      <c r="P36" s="22">
        <f>SUM(26*B36)</f>
        <v>780</v>
      </c>
      <c r="R36" s="4">
        <f>SUM(16*B36)</f>
        <v>480</v>
      </c>
      <c r="S36" s="4">
        <f>SUM(B36*2)</f>
        <v>60</v>
      </c>
      <c r="T36" s="4">
        <f>SUM(B36*2)</f>
        <v>60</v>
      </c>
      <c r="W36" s="4">
        <f>SUM(20*B36)</f>
        <v>600</v>
      </c>
      <c r="X36" s="4">
        <f>SUM(3*B36)</f>
        <v>90</v>
      </c>
      <c r="Y36" s="4">
        <f>SUM(B36*6)</f>
        <v>180</v>
      </c>
      <c r="Z36" s="4">
        <f>SUM(5*B36)</f>
        <v>150</v>
      </c>
      <c r="AD36" s="4">
        <f>SUM(1*B36)</f>
        <v>30</v>
      </c>
      <c r="AE36" s="4">
        <f>SUM(1*B36)</f>
        <v>30</v>
      </c>
      <c r="AH36" s="4">
        <f t="shared" si="1"/>
        <v>30</v>
      </c>
      <c r="AJ36" s="4">
        <f>SUM(B36*1)</f>
        <v>30</v>
      </c>
      <c r="AK36" s="4">
        <f>SUM(1*B36)</f>
        <v>30</v>
      </c>
      <c r="BA36" s="4">
        <f>SUM(B36*6)</f>
        <v>180</v>
      </c>
    </row>
    <row r="37" spans="1:163" x14ac:dyDescent="0.25">
      <c r="A37" s="48" t="s">
        <v>164</v>
      </c>
      <c r="B37" s="27">
        <v>0</v>
      </c>
      <c r="F37" s="4">
        <f>SUM(B37*1)</f>
        <v>0</v>
      </c>
      <c r="K37" s="4">
        <f>SUM(5*B37)</f>
        <v>0</v>
      </c>
      <c r="N37" s="4">
        <f>SUM(3*B37)</f>
        <v>0</v>
      </c>
      <c r="P37" s="4">
        <f>SUM(2*B37)</f>
        <v>0</v>
      </c>
      <c r="Q37" s="23"/>
      <c r="R37" s="4">
        <f>SUM(6*B37)</f>
        <v>0</v>
      </c>
      <c r="S37" s="4">
        <f>SUM(B37*2)</f>
        <v>0</v>
      </c>
      <c r="U37" s="4">
        <f>SUM(B37*1)</f>
        <v>0</v>
      </c>
      <c r="W37" s="4">
        <f>SUM(1*B37)</f>
        <v>0</v>
      </c>
      <c r="X37" s="4">
        <f>SUM(1*B37)</f>
        <v>0</v>
      </c>
      <c r="Z37" s="4">
        <f>SUM(2*B37)</f>
        <v>0</v>
      </c>
      <c r="AB37" s="4">
        <f>SUM(B37*1)</f>
        <v>0</v>
      </c>
      <c r="AE37" s="4">
        <f>SUM(1*B37)</f>
        <v>0</v>
      </c>
      <c r="AH37" s="4">
        <f t="shared" si="1"/>
        <v>0</v>
      </c>
      <c r="AI37" s="4">
        <f>SUM(B37*1)</f>
        <v>0</v>
      </c>
      <c r="AP37" s="4">
        <f>SUM(B37*1)</f>
        <v>0</v>
      </c>
      <c r="AQ37" s="4">
        <f>SUM(B37*4)</f>
        <v>0</v>
      </c>
      <c r="AW37" s="4">
        <f>SUM(2*B37)</f>
        <v>0</v>
      </c>
    </row>
    <row r="38" spans="1:163" x14ac:dyDescent="0.25">
      <c r="A38" s="48" t="s">
        <v>173</v>
      </c>
      <c r="B38" s="27">
        <v>0</v>
      </c>
      <c r="P38" s="23"/>
      <c r="Q38" s="25"/>
      <c r="AE38" s="4">
        <f>SUM(1*B38)</f>
        <v>0</v>
      </c>
      <c r="AH38" s="4">
        <f t="shared" si="1"/>
        <v>0</v>
      </c>
      <c r="AW38" s="4">
        <f>SUM(2*B38)</f>
        <v>0</v>
      </c>
      <c r="BR38" s="4">
        <f>SUM(1*B38)</f>
        <v>0</v>
      </c>
    </row>
    <row r="39" spans="1:163" x14ac:dyDescent="0.25">
      <c r="A39" s="48" t="s">
        <v>165</v>
      </c>
      <c r="B39" s="27">
        <v>100</v>
      </c>
      <c r="K39" s="4">
        <f>SUM(1*B39)</f>
        <v>100</v>
      </c>
      <c r="L39" s="4">
        <f>SUM(1*B39)</f>
        <v>100</v>
      </c>
      <c r="O39" s="4">
        <f>SUM(B39*8)</f>
        <v>800</v>
      </c>
      <c r="R39" s="4">
        <f>SUM(3*B39)</f>
        <v>300</v>
      </c>
      <c r="W39" s="4">
        <f>SUM(9*B39)</f>
        <v>900</v>
      </c>
      <c r="Z39" s="4">
        <f>SUM(9*B39)</f>
        <v>900</v>
      </c>
      <c r="AH39" s="4">
        <f t="shared" si="1"/>
        <v>100</v>
      </c>
      <c r="AJ39" s="4">
        <f>SUM(2*B39)</f>
        <v>200</v>
      </c>
      <c r="BX39" s="4" t="s">
        <v>37</v>
      </c>
    </row>
    <row r="40" spans="1:163" x14ac:dyDescent="0.25">
      <c r="A40" s="48" t="s">
        <v>166</v>
      </c>
      <c r="B40" s="27">
        <v>0</v>
      </c>
      <c r="C40" s="23"/>
      <c r="K40" s="4">
        <f>SUM(4*B40)</f>
        <v>0</v>
      </c>
      <c r="AH40" s="4">
        <f t="shared" si="1"/>
        <v>0</v>
      </c>
    </row>
    <row r="41" spans="1:163" x14ac:dyDescent="0.25">
      <c r="A41" s="50" t="s">
        <v>167</v>
      </c>
      <c r="B41" s="27">
        <v>0</v>
      </c>
      <c r="K41" s="4">
        <f>SUM(4*B41)</f>
        <v>0</v>
      </c>
      <c r="AH41" s="4">
        <f t="shared" si="1"/>
        <v>0</v>
      </c>
    </row>
    <row r="42" spans="1:163" x14ac:dyDescent="0.25">
      <c r="A42" s="51" t="s">
        <v>168</v>
      </c>
      <c r="B42" s="27">
        <v>0</v>
      </c>
      <c r="K42" s="4">
        <f>SUM(36*B42)</f>
        <v>0</v>
      </c>
      <c r="AH42" s="4">
        <f t="shared" si="1"/>
        <v>0</v>
      </c>
    </row>
    <row r="43" spans="1:163" x14ac:dyDescent="0.25">
      <c r="A43" s="51" t="s">
        <v>169</v>
      </c>
      <c r="B43" s="27">
        <v>40</v>
      </c>
      <c r="I43" s="23"/>
      <c r="J43" s="28"/>
      <c r="P43" s="4">
        <f>SUM(13*B43)</f>
        <v>520</v>
      </c>
      <c r="W43" s="4">
        <f>SUM(13*B43)</f>
        <v>520</v>
      </c>
      <c r="Z43" s="4">
        <f>SUM(4*B43)</f>
        <v>160</v>
      </c>
      <c r="AH43" s="4">
        <f t="shared" si="1"/>
        <v>40</v>
      </c>
    </row>
    <row r="44" spans="1:163" ht="15.75" thickBot="1" x14ac:dyDescent="0.3">
      <c r="A44" s="51" t="s">
        <v>197</v>
      </c>
      <c r="B44" s="27">
        <v>50</v>
      </c>
      <c r="C44" s="4">
        <f>SUM(B44*2)</f>
        <v>100</v>
      </c>
      <c r="I44" s="23"/>
      <c r="J44" s="23"/>
      <c r="K44" s="23">
        <f>SUM(B44*5)</f>
        <v>250</v>
      </c>
      <c r="L44" s="23">
        <f>SUM(B44*3)</f>
        <v>150</v>
      </c>
      <c r="M44" s="23"/>
      <c r="N44" s="23">
        <f>SUM(B44*1)</f>
        <v>50</v>
      </c>
      <c r="O44" s="23"/>
      <c r="P44" s="23">
        <f>SUM(B44*9)</f>
        <v>450</v>
      </c>
      <c r="Q44" s="23"/>
      <c r="R44" s="23">
        <f>SUM(B44*7)</f>
        <v>350</v>
      </c>
      <c r="S44" s="23"/>
      <c r="T44" s="23"/>
      <c r="U44" s="23"/>
      <c r="V44" s="23"/>
      <c r="W44" s="23">
        <f>SUM(B44*2)</f>
        <v>100</v>
      </c>
      <c r="X44" s="23"/>
      <c r="Y44" s="23"/>
      <c r="Z44" s="23">
        <f>SUM(B44*1)</f>
        <v>50</v>
      </c>
      <c r="AA44" s="23"/>
      <c r="AB44" s="23">
        <f>SUM(B44*2)</f>
        <v>100</v>
      </c>
      <c r="AC44" s="23"/>
      <c r="AD44" s="23"/>
      <c r="AE44" s="23">
        <f>SUM(B44*1)</f>
        <v>50</v>
      </c>
      <c r="AF44" s="23"/>
      <c r="AG44" s="23"/>
      <c r="AH44" s="23">
        <f>SUM(B44*1)</f>
        <v>50</v>
      </c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>
        <f>SUM(B44*2)</f>
        <v>100</v>
      </c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>
        <f>SUM(B44*1)</f>
        <v>50</v>
      </c>
      <c r="BS44" s="23"/>
      <c r="BT44" s="23"/>
      <c r="BU44" s="23"/>
      <c r="BV44" s="23"/>
      <c r="BW44" s="23"/>
      <c r="BX44" s="23"/>
      <c r="BY44" s="23"/>
      <c r="BZ44" s="23">
        <f>SUM(B44*1)</f>
        <v>50</v>
      </c>
      <c r="CA44" s="23">
        <f>SUM(B44*1)</f>
        <v>50</v>
      </c>
      <c r="CB44" s="23"/>
      <c r="CC44" s="23"/>
      <c r="CD44" s="23">
        <f>SUM(B44*1)</f>
        <v>50</v>
      </c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>
        <f>SUM(B44*1)</f>
        <v>50</v>
      </c>
      <c r="CS44" s="23"/>
      <c r="CT44" s="23"/>
      <c r="CU44" s="23"/>
      <c r="CV44" s="23"/>
      <c r="CW44" s="23"/>
      <c r="CX44" s="23"/>
      <c r="CY44" s="23"/>
      <c r="CZ44" s="23"/>
      <c r="DA44" s="23"/>
      <c r="DB44" s="23"/>
      <c r="DC44" s="23"/>
      <c r="DD44" s="23"/>
      <c r="DE44" s="23"/>
      <c r="DF44" s="23"/>
      <c r="DG44" s="23"/>
      <c r="DH44" s="23"/>
      <c r="DI44" s="23"/>
      <c r="DJ44" s="23"/>
      <c r="DK44" s="23"/>
      <c r="DL44" s="23"/>
      <c r="DM44" s="23"/>
      <c r="DN44" s="23"/>
      <c r="DO44" s="23"/>
      <c r="DP44" s="23"/>
      <c r="DQ44" s="23"/>
      <c r="DR44" s="23"/>
      <c r="DS44" s="23"/>
      <c r="DT44" s="23"/>
      <c r="DU44" s="23">
        <f>SUM(B44*1)</f>
        <v>50</v>
      </c>
      <c r="DV44" s="23"/>
      <c r="DW44" s="23"/>
      <c r="EK44" s="4">
        <f>SUM(B44*1)</f>
        <v>50</v>
      </c>
      <c r="ET44" s="4">
        <f>SUM(B44*1)</f>
        <v>50</v>
      </c>
      <c r="EU44" s="4">
        <f>SUM(B44*1)</f>
        <v>50</v>
      </c>
      <c r="EV44" s="4">
        <f>SUM(B44*1)</f>
        <v>50</v>
      </c>
      <c r="EW44" s="4">
        <f>SUM(B44*1)</f>
        <v>50</v>
      </c>
      <c r="EY44" s="4">
        <f>SUM(B44*1)</f>
        <v>50</v>
      </c>
      <c r="FA44" s="4">
        <f>SUM(B44*1)</f>
        <v>50</v>
      </c>
      <c r="FB44" s="4">
        <f>SUM(B44*2)</f>
        <v>100</v>
      </c>
    </row>
    <row r="45" spans="1:163" ht="15.75" thickBot="1" x14ac:dyDescent="0.3">
      <c r="A45" s="51" t="s">
        <v>205</v>
      </c>
      <c r="B45" s="27">
        <v>30</v>
      </c>
      <c r="F45" s="4">
        <f>SUM(B45*1)</f>
        <v>30</v>
      </c>
      <c r="I45" s="23"/>
      <c r="J45" s="23"/>
      <c r="K45" s="23"/>
      <c r="L45" s="23">
        <f>SUM(B45*37)</f>
        <v>1110</v>
      </c>
      <c r="M45" s="23"/>
      <c r="N45" s="23">
        <f>SUM(B45*3)</f>
        <v>90</v>
      </c>
      <c r="O45" s="23">
        <f>SUM(B45*6)</f>
        <v>180</v>
      </c>
      <c r="P45" s="23">
        <f>SUM(B465)</f>
        <v>0</v>
      </c>
      <c r="Q45" s="23">
        <f>SUM(B45*1)</f>
        <v>30</v>
      </c>
      <c r="R45" s="23">
        <f>SUM(B45*8)</f>
        <v>240</v>
      </c>
      <c r="S45" s="23"/>
      <c r="T45" s="23"/>
      <c r="U45" s="23"/>
      <c r="V45" s="23"/>
      <c r="W45" s="23"/>
      <c r="X45" s="23"/>
      <c r="Y45" s="23"/>
      <c r="Z45" s="23"/>
      <c r="AA45" s="33"/>
      <c r="AB45" s="23"/>
      <c r="AC45" s="23"/>
      <c r="AD45" s="23"/>
      <c r="AE45" s="23"/>
      <c r="AF45" s="23"/>
      <c r="AG45" s="23"/>
      <c r="AH45" s="23">
        <f>SUM(B45*1)</f>
        <v>30</v>
      </c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>
        <f>SUM(B45*2)</f>
        <v>60</v>
      </c>
      <c r="BB45" s="23"/>
      <c r="BC45" s="23"/>
      <c r="BD45" s="23"/>
      <c r="BE45" s="23"/>
      <c r="BF45" s="23"/>
      <c r="BG45" s="23"/>
      <c r="BH45" s="23"/>
      <c r="BI45" s="23"/>
      <c r="BJ45" s="23"/>
      <c r="BK45" s="23">
        <f>SUM(B45*1)</f>
        <v>30</v>
      </c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  <c r="CZ45" s="23"/>
      <c r="DA45" s="23"/>
      <c r="DB45" s="23"/>
      <c r="DC45" s="23"/>
      <c r="DD45" s="23"/>
      <c r="DE45" s="23"/>
      <c r="DF45" s="23"/>
      <c r="DG45" s="23">
        <f>SUM(B45*1)</f>
        <v>30</v>
      </c>
      <c r="DH45" s="23"/>
      <c r="DI45" s="23"/>
      <c r="DJ45" s="23"/>
      <c r="DK45" s="23"/>
      <c r="DL45" s="23"/>
      <c r="DM45" s="23"/>
      <c r="DN45" s="23"/>
      <c r="DO45" s="23"/>
      <c r="DP45" s="23"/>
      <c r="DQ45" s="23"/>
      <c r="DR45" s="23"/>
      <c r="DS45" s="23"/>
      <c r="DT45" s="23"/>
      <c r="DU45" s="23"/>
      <c r="DV45" s="23"/>
      <c r="DW45" s="23"/>
      <c r="DX45" s="23"/>
      <c r="DY45" s="23"/>
      <c r="DZ45" s="23"/>
      <c r="EA45" s="23"/>
      <c r="EB45" s="23"/>
      <c r="EC45" s="23"/>
      <c r="ED45" s="23"/>
      <c r="EE45" s="23"/>
      <c r="EF45" s="23"/>
      <c r="EG45" s="23"/>
      <c r="EH45" s="23"/>
      <c r="EI45" s="23"/>
      <c r="EJ45" s="23"/>
      <c r="EK45" s="23"/>
      <c r="EL45" s="23"/>
      <c r="EM45" s="23"/>
      <c r="EN45" s="23"/>
      <c r="EO45" s="23"/>
      <c r="EP45" s="23"/>
      <c r="EQ45" s="23"/>
      <c r="ER45" s="23"/>
      <c r="ES45" s="23"/>
      <c r="FC45" s="4">
        <f>SUM(B45*2)</f>
        <v>60</v>
      </c>
      <c r="FD45" s="4">
        <f>SUM(B45*1)</f>
        <v>30</v>
      </c>
      <c r="FE45" s="4">
        <f>SUM(B45*1)</f>
        <v>30</v>
      </c>
      <c r="FF45" s="4">
        <f>SUM(B45*1)</f>
        <v>30</v>
      </c>
      <c r="FG45" s="34">
        <f>SUM(B45*1)</f>
        <v>30</v>
      </c>
    </row>
    <row r="46" spans="1:163" x14ac:dyDescent="0.25">
      <c r="A46" s="51"/>
      <c r="B46" s="27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3"/>
      <c r="AS46" s="25"/>
      <c r="AT46" s="23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3"/>
      <c r="BU46" s="25"/>
      <c r="BV46" s="25"/>
      <c r="BW46" s="25"/>
      <c r="BX46" s="25"/>
      <c r="BY46" s="25"/>
      <c r="BZ46" s="25"/>
      <c r="CA46" s="25"/>
      <c r="CB46" s="23"/>
      <c r="CC46" s="23"/>
      <c r="CD46" s="23"/>
      <c r="CE46" s="23"/>
      <c r="CF46" s="23"/>
      <c r="CG46" s="23"/>
      <c r="CH46" s="23"/>
      <c r="CI46" s="23"/>
      <c r="CJ46" s="23"/>
      <c r="CK46" s="25"/>
      <c r="CL46" s="25"/>
      <c r="CM46" s="25"/>
      <c r="CN46" s="23"/>
      <c r="CO46" s="25"/>
      <c r="CP46" s="23"/>
      <c r="CQ46" s="23"/>
      <c r="CR46" s="23"/>
      <c r="CS46" s="25"/>
      <c r="CT46" s="25"/>
      <c r="CU46" s="25"/>
      <c r="CV46" s="23"/>
      <c r="CW46" s="25"/>
      <c r="CX46" s="23"/>
      <c r="CY46" s="25"/>
      <c r="CZ46" s="25"/>
      <c r="DA46" s="25"/>
      <c r="DB46" s="23"/>
      <c r="DC46" s="25"/>
      <c r="DD46" s="23"/>
      <c r="DE46" s="25"/>
      <c r="DF46" s="23"/>
      <c r="DG46" s="25"/>
      <c r="DH46" s="25"/>
      <c r="DI46" s="23"/>
      <c r="DJ46" s="23"/>
      <c r="DK46" s="23"/>
      <c r="DL46" s="23"/>
      <c r="DM46" s="23"/>
      <c r="DN46" s="23"/>
      <c r="DO46" s="23"/>
      <c r="DP46" s="23"/>
      <c r="DQ46" s="23"/>
      <c r="DR46" s="23"/>
      <c r="DS46" s="23"/>
      <c r="DT46" s="23"/>
      <c r="DU46" s="23"/>
      <c r="DV46" s="23"/>
      <c r="DW46" s="23"/>
      <c r="DX46" s="23"/>
      <c r="DY46" s="23"/>
      <c r="DZ46" s="23"/>
      <c r="EA46" s="23"/>
      <c r="EB46" s="23"/>
      <c r="EC46" s="23"/>
      <c r="ED46" s="23"/>
      <c r="EE46" s="23"/>
      <c r="EF46" s="23"/>
      <c r="EG46" s="23"/>
      <c r="EH46" s="23"/>
      <c r="EI46" s="23"/>
      <c r="EJ46" s="23"/>
      <c r="EK46" s="23"/>
      <c r="EL46" s="23"/>
      <c r="EM46" s="23"/>
      <c r="EN46" s="23"/>
      <c r="EO46" s="23"/>
      <c r="EP46" s="23"/>
      <c r="EQ46" s="23"/>
      <c r="ER46" s="23"/>
      <c r="ES46" s="23"/>
      <c r="FA46" s="23"/>
    </row>
    <row r="47" spans="1:163" x14ac:dyDescent="0.25">
      <c r="A47" s="51"/>
      <c r="B47" s="27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BH47" s="23"/>
      <c r="BI47" s="23"/>
      <c r="BJ47" s="23"/>
      <c r="BK47" s="23"/>
      <c r="BL47" s="23"/>
      <c r="BM47" s="23"/>
      <c r="BN47" s="23"/>
      <c r="BO47" s="23"/>
      <c r="BP47" s="23"/>
      <c r="BQ47" s="23"/>
      <c r="BR47" s="23"/>
      <c r="BS47" s="23"/>
      <c r="BT47" s="23"/>
      <c r="BU47" s="23"/>
      <c r="BV47" s="23"/>
      <c r="BW47" s="23"/>
      <c r="BX47" s="23"/>
      <c r="BY47" s="23"/>
      <c r="BZ47" s="23"/>
      <c r="CA47" s="23"/>
      <c r="CB47" s="23"/>
      <c r="CC47" s="23"/>
      <c r="CD47" s="23"/>
      <c r="CE47" s="23"/>
      <c r="CF47" s="23"/>
      <c r="CG47" s="23"/>
      <c r="CH47" s="23"/>
      <c r="CI47" s="23"/>
      <c r="CJ47" s="23"/>
      <c r="CK47" s="23"/>
      <c r="CL47" s="23"/>
      <c r="CM47" s="23"/>
      <c r="CN47" s="23"/>
      <c r="CO47" s="23"/>
      <c r="CP47" s="23"/>
      <c r="CQ47" s="23"/>
      <c r="CR47" s="23"/>
      <c r="CS47" s="23"/>
      <c r="CT47" s="23"/>
      <c r="CU47" s="23"/>
      <c r="CV47" s="23"/>
      <c r="CW47" s="23"/>
      <c r="CX47" s="23"/>
      <c r="CY47" s="23"/>
      <c r="CZ47" s="23"/>
      <c r="DA47" s="23"/>
      <c r="DB47" s="23"/>
      <c r="DC47" s="23"/>
      <c r="DD47" s="23"/>
      <c r="DE47" s="23"/>
      <c r="DF47" s="23"/>
      <c r="DG47" s="23"/>
      <c r="DH47" s="23"/>
      <c r="DI47" s="23"/>
      <c r="DJ47" s="23"/>
      <c r="DK47" s="23"/>
      <c r="DL47" s="23"/>
      <c r="DM47" s="23"/>
      <c r="DN47" s="23"/>
      <c r="DO47" s="23"/>
      <c r="DP47" s="23"/>
      <c r="DQ47" s="23"/>
      <c r="DR47" s="23"/>
      <c r="DS47" s="23"/>
      <c r="DT47" s="23"/>
      <c r="DU47" s="23"/>
      <c r="DV47" s="23"/>
      <c r="DW47" s="23"/>
      <c r="DX47" s="23"/>
      <c r="DY47" s="23"/>
      <c r="DZ47" s="23"/>
      <c r="EA47" s="23"/>
      <c r="EB47" s="23"/>
      <c r="EC47" s="23"/>
      <c r="ED47" s="23"/>
      <c r="EE47" s="23"/>
      <c r="EF47" s="23"/>
      <c r="EG47" s="23"/>
      <c r="EH47" s="23"/>
      <c r="EI47" s="23"/>
      <c r="EJ47" s="23"/>
      <c r="EK47" s="23"/>
      <c r="EL47" s="23"/>
      <c r="EM47" s="23"/>
      <c r="EN47" s="23"/>
      <c r="EO47" s="23"/>
      <c r="EP47" s="23"/>
      <c r="EQ47" s="23"/>
      <c r="ER47" s="23"/>
      <c r="ES47" s="23"/>
      <c r="FA47" s="23"/>
    </row>
    <row r="48" spans="1:163" x14ac:dyDescent="0.25">
      <c r="A48" s="51"/>
      <c r="B48" s="27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3"/>
      <c r="BH48" s="23"/>
      <c r="BI48" s="23"/>
      <c r="BJ48" s="23"/>
      <c r="BK48" s="23"/>
      <c r="BL48" s="23"/>
      <c r="BM48" s="23"/>
      <c r="BN48" s="23"/>
      <c r="BO48" s="23"/>
      <c r="BP48" s="23"/>
      <c r="BQ48" s="23"/>
      <c r="BR48" s="23"/>
      <c r="BS48" s="23"/>
      <c r="BT48" s="23"/>
      <c r="BU48" s="23"/>
      <c r="BV48" s="23"/>
      <c r="BW48" s="23"/>
      <c r="BX48" s="23"/>
      <c r="BY48" s="23"/>
      <c r="BZ48" s="23"/>
      <c r="CA48" s="23"/>
      <c r="CB48" s="23"/>
      <c r="CC48" s="23"/>
      <c r="CD48" s="23"/>
      <c r="CE48" s="23"/>
      <c r="CF48" s="23"/>
      <c r="CG48" s="23"/>
      <c r="CH48" s="23"/>
      <c r="CI48" s="23"/>
      <c r="CJ48" s="23"/>
      <c r="CK48" s="23"/>
      <c r="CL48" s="23"/>
      <c r="CM48" s="23"/>
      <c r="CN48" s="23"/>
      <c r="CO48" s="23"/>
      <c r="CP48" s="23"/>
      <c r="CQ48" s="23"/>
      <c r="CR48" s="23"/>
      <c r="CS48" s="23"/>
      <c r="CT48" s="23"/>
      <c r="CU48" s="23"/>
      <c r="CV48" s="23"/>
      <c r="CW48" s="23"/>
      <c r="CX48" s="23"/>
      <c r="CY48" s="23"/>
      <c r="CZ48" s="23"/>
      <c r="DA48" s="23"/>
      <c r="DB48" s="23"/>
      <c r="DC48" s="23"/>
      <c r="DD48" s="23"/>
      <c r="DE48" s="23"/>
      <c r="DF48" s="23"/>
      <c r="DG48" s="23"/>
      <c r="DH48" s="23"/>
      <c r="DI48" s="23"/>
      <c r="DJ48" s="23"/>
      <c r="DK48" s="23"/>
      <c r="DL48" s="23"/>
      <c r="DM48" s="23"/>
      <c r="DN48" s="23"/>
      <c r="DO48" s="23"/>
      <c r="DP48" s="23"/>
      <c r="DQ48" s="23"/>
      <c r="DR48" s="23"/>
      <c r="DS48" s="23"/>
      <c r="DT48" s="23"/>
      <c r="DU48" s="23"/>
      <c r="DV48" s="23"/>
      <c r="DW48" s="23"/>
      <c r="DX48" s="23"/>
      <c r="DY48" s="23"/>
      <c r="DZ48" s="23"/>
      <c r="EA48" s="23"/>
      <c r="EB48" s="23"/>
      <c r="EC48" s="23"/>
      <c r="ED48" s="23"/>
      <c r="EE48" s="23"/>
      <c r="EF48" s="23"/>
      <c r="EG48" s="23"/>
      <c r="EH48" s="23"/>
      <c r="EI48" s="23"/>
      <c r="EJ48" s="23"/>
      <c r="EK48" s="23"/>
      <c r="EL48" s="23"/>
      <c r="EM48" s="23"/>
      <c r="EN48" s="23"/>
      <c r="EO48" s="23"/>
      <c r="EP48" s="23"/>
      <c r="EQ48" s="23"/>
      <c r="ER48" s="23"/>
      <c r="ES48" s="23"/>
      <c r="FA48" s="23"/>
    </row>
    <row r="49" spans="1:325" x14ac:dyDescent="0.25">
      <c r="A49" s="51"/>
      <c r="B49" s="27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BH49" s="23"/>
      <c r="BI49" s="23"/>
      <c r="BJ49" s="23"/>
      <c r="BK49" s="23"/>
      <c r="BL49" s="23"/>
      <c r="BM49" s="23"/>
      <c r="BN49" s="23"/>
      <c r="BO49" s="23"/>
      <c r="BP49" s="23"/>
      <c r="BQ49" s="23"/>
      <c r="BR49" s="23"/>
      <c r="BS49" s="23"/>
      <c r="BT49" s="23"/>
      <c r="BU49" s="23"/>
      <c r="BV49" s="23"/>
      <c r="BW49" s="23"/>
      <c r="BX49" s="23"/>
      <c r="BY49" s="23"/>
      <c r="BZ49" s="23"/>
      <c r="CA49" s="23"/>
      <c r="CB49" s="23"/>
      <c r="CC49" s="23"/>
      <c r="CD49" s="23"/>
      <c r="CE49" s="23"/>
      <c r="CF49" s="23"/>
      <c r="CG49" s="23"/>
      <c r="CH49" s="23"/>
      <c r="CI49" s="23"/>
      <c r="CJ49" s="23"/>
      <c r="CK49" s="23"/>
      <c r="CL49" s="23"/>
      <c r="CM49" s="23"/>
      <c r="CN49" s="23"/>
      <c r="CO49" s="23"/>
      <c r="CP49" s="23"/>
      <c r="CQ49" s="23"/>
      <c r="CR49" s="23"/>
      <c r="CS49" s="23"/>
      <c r="CT49" s="23"/>
      <c r="CU49" s="23"/>
      <c r="CV49" s="23"/>
      <c r="CW49" s="23"/>
      <c r="CX49" s="23"/>
      <c r="CY49" s="23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3"/>
      <c r="DW49" s="25"/>
      <c r="DX49" s="35"/>
      <c r="DY49" s="25"/>
      <c r="DZ49" s="35"/>
      <c r="EA49" s="35"/>
      <c r="EB49" s="25"/>
      <c r="EC49" s="35"/>
      <c r="ED49" s="35"/>
      <c r="EE49" s="25"/>
      <c r="EF49" s="35"/>
      <c r="EG49" s="25"/>
      <c r="EH49" s="3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3"/>
    </row>
    <row r="50" spans="1:325" x14ac:dyDescent="0.25">
      <c r="A50" s="51"/>
      <c r="B50" s="27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</row>
    <row r="51" spans="1:325" x14ac:dyDescent="0.25">
      <c r="A51" s="51"/>
      <c r="B51" s="27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</row>
    <row r="52" spans="1:325" ht="15.75" thickBot="1" x14ac:dyDescent="0.3">
      <c r="A52" s="52"/>
      <c r="B52" s="27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</row>
    <row r="53" spans="1:325" s="18" customFormat="1" ht="15.75" thickBot="1" x14ac:dyDescent="0.3">
      <c r="A53" s="53" t="s">
        <v>144</v>
      </c>
      <c r="B53" s="34"/>
      <c r="C53" s="36">
        <f>SUM(C4:C51)</f>
        <v>11850</v>
      </c>
      <c r="D53" s="18">
        <f>SUM(D4:D51)</f>
        <v>0</v>
      </c>
      <c r="E53" s="18">
        <f>SUM(E4:E51)</f>
        <v>11940</v>
      </c>
      <c r="F53" s="18">
        <f>SUM(F4:F50)</f>
        <v>69798</v>
      </c>
      <c r="G53" s="18">
        <f>SUM(G4:G51)</f>
        <v>32394</v>
      </c>
      <c r="H53" s="18">
        <f>SUM(H4:H43)</f>
        <v>87912</v>
      </c>
      <c r="I53" s="18">
        <f t="shared" ref="I53:N53" si="2">SUM(I4:I51)</f>
        <v>262388</v>
      </c>
      <c r="J53" s="18">
        <f t="shared" si="2"/>
        <v>21300</v>
      </c>
      <c r="K53" s="18">
        <f t="shared" si="2"/>
        <v>117322</v>
      </c>
      <c r="L53" s="36">
        <f t="shared" si="2"/>
        <v>279604</v>
      </c>
      <c r="M53" s="18">
        <f t="shared" si="2"/>
        <v>104804</v>
      </c>
      <c r="N53" s="18">
        <f t="shared" si="2"/>
        <v>178000</v>
      </c>
      <c r="O53" s="18">
        <f>SUM(O4:O50)</f>
        <v>129550</v>
      </c>
      <c r="P53" s="36">
        <f t="shared" ref="P53:V53" si="3">SUM(P4:P51)</f>
        <v>168314</v>
      </c>
      <c r="Q53" s="18">
        <f t="shared" si="3"/>
        <v>1630</v>
      </c>
      <c r="R53" s="18">
        <f t="shared" si="3"/>
        <v>335814</v>
      </c>
      <c r="S53" s="18">
        <f t="shared" si="3"/>
        <v>8276</v>
      </c>
      <c r="T53" s="18">
        <f t="shared" si="3"/>
        <v>6516</v>
      </c>
      <c r="U53" s="18">
        <f t="shared" si="3"/>
        <v>830</v>
      </c>
      <c r="V53" s="18">
        <f t="shared" si="3"/>
        <v>0</v>
      </c>
      <c r="W53" s="18">
        <f>SUM(W4:W50)</f>
        <v>164166</v>
      </c>
      <c r="X53" s="18">
        <f>SUM(X4:X51)</f>
        <v>40056</v>
      </c>
      <c r="Y53" s="18">
        <f>SUM(Y4:Y50)</f>
        <v>140118</v>
      </c>
      <c r="Z53" s="18">
        <f>SUM(Z4:Z51)</f>
        <v>245504</v>
      </c>
      <c r="AA53" s="18">
        <f>SUM(AA4:AA51)</f>
        <v>62400</v>
      </c>
      <c r="AB53" s="18">
        <f>SUM(AB4:AB50)</f>
        <v>34190</v>
      </c>
      <c r="AC53" s="18">
        <f t="shared" ref="AC53:AN53" si="4">SUM(AC4:AC51)</f>
        <v>0</v>
      </c>
      <c r="AD53" s="18">
        <f t="shared" si="4"/>
        <v>2638</v>
      </c>
      <c r="AE53" s="18">
        <f t="shared" si="4"/>
        <v>17638</v>
      </c>
      <c r="AF53" s="18">
        <f t="shared" si="4"/>
        <v>500</v>
      </c>
      <c r="AG53" s="18">
        <f t="shared" si="4"/>
        <v>21330</v>
      </c>
      <c r="AH53" s="18">
        <f t="shared" si="4"/>
        <v>19078</v>
      </c>
      <c r="AI53" s="18">
        <f t="shared" si="4"/>
        <v>3578</v>
      </c>
      <c r="AJ53" s="18">
        <f t="shared" si="4"/>
        <v>42486</v>
      </c>
      <c r="AK53" s="18">
        <f t="shared" si="4"/>
        <v>16876</v>
      </c>
      <c r="AL53" s="18">
        <f t="shared" si="4"/>
        <v>9742</v>
      </c>
      <c r="AM53" s="18">
        <f t="shared" si="4"/>
        <v>7992</v>
      </c>
      <c r="AN53" s="18">
        <f t="shared" si="4"/>
        <v>0</v>
      </c>
      <c r="AO53" s="18">
        <f>SUM(AO4:AO50)</f>
        <v>6500</v>
      </c>
      <c r="AP53" s="18">
        <f t="shared" ref="AP53:AV53" si="5">SUM(AP4:AP51)</f>
        <v>2578</v>
      </c>
      <c r="AQ53" s="18">
        <f t="shared" si="5"/>
        <v>13640</v>
      </c>
      <c r="AR53" s="18">
        <f t="shared" si="5"/>
        <v>30</v>
      </c>
      <c r="AS53" s="18">
        <f t="shared" si="5"/>
        <v>500</v>
      </c>
      <c r="AT53" s="18">
        <f t="shared" si="5"/>
        <v>500</v>
      </c>
      <c r="AU53" s="18">
        <f t="shared" si="5"/>
        <v>0</v>
      </c>
      <c r="AV53" s="18">
        <f t="shared" si="5"/>
        <v>0</v>
      </c>
      <c r="AW53" s="18">
        <f>SUM(AW4:AW50)</f>
        <v>26376</v>
      </c>
      <c r="AX53" s="18">
        <f t="shared" ref="AX53:BD53" si="6">SUM(AX4:AX51)</f>
        <v>1030</v>
      </c>
      <c r="AY53" s="18">
        <f t="shared" si="6"/>
        <v>1590</v>
      </c>
      <c r="AZ53" s="18">
        <f t="shared" si="6"/>
        <v>15000</v>
      </c>
      <c r="BA53" s="18">
        <f t="shared" si="6"/>
        <v>1040</v>
      </c>
      <c r="BB53" s="18">
        <f t="shared" si="6"/>
        <v>0</v>
      </c>
      <c r="BC53" s="18">
        <f t="shared" si="6"/>
        <v>500</v>
      </c>
      <c r="BD53" s="18">
        <f t="shared" si="6"/>
        <v>1880</v>
      </c>
      <c r="BE53" s="18">
        <f>SUM(BF45)</f>
        <v>0</v>
      </c>
      <c r="BF53" s="18">
        <f>SUM(BF4:BF43)</f>
        <v>11773</v>
      </c>
      <c r="BG53" s="18">
        <f>SUM(BG4:BG43)</f>
        <v>9077</v>
      </c>
      <c r="BH53" s="18">
        <f>SUM(BH4:BH43)</f>
        <v>0</v>
      </c>
      <c r="BI53" s="18">
        <f t="shared" ref="BI53:BS53" si="7">SUM(BI4:BI51)</f>
        <v>0</v>
      </c>
      <c r="BJ53" s="18">
        <f t="shared" si="7"/>
        <v>0</v>
      </c>
      <c r="BK53" s="18">
        <f t="shared" si="7"/>
        <v>30</v>
      </c>
      <c r="BL53" s="18">
        <f t="shared" si="7"/>
        <v>0</v>
      </c>
      <c r="BM53" s="18">
        <f t="shared" si="7"/>
        <v>0</v>
      </c>
      <c r="BN53" s="18">
        <f t="shared" si="7"/>
        <v>0</v>
      </c>
      <c r="BO53" s="18">
        <f t="shared" si="7"/>
        <v>24310</v>
      </c>
      <c r="BP53" s="18">
        <f t="shared" si="7"/>
        <v>0</v>
      </c>
      <c r="BQ53" s="18">
        <f t="shared" si="7"/>
        <v>6400</v>
      </c>
      <c r="BR53" s="18">
        <f t="shared" si="7"/>
        <v>18958</v>
      </c>
      <c r="BS53" s="18">
        <f t="shared" si="7"/>
        <v>500</v>
      </c>
      <c r="BT53" s="18">
        <f>SUM(BT4:BT43)</f>
        <v>4000</v>
      </c>
      <c r="BU53" s="18">
        <f t="shared" ref="BU53:CH53" si="8">SUM(BU4:BU51)</f>
        <v>1000</v>
      </c>
      <c r="BV53" s="18">
        <f t="shared" si="8"/>
        <v>6400</v>
      </c>
      <c r="BW53" s="18">
        <f t="shared" si="8"/>
        <v>0</v>
      </c>
      <c r="BX53" s="18">
        <f t="shared" si="8"/>
        <v>0</v>
      </c>
      <c r="BY53" s="18">
        <f t="shared" si="8"/>
        <v>1300</v>
      </c>
      <c r="BZ53" s="18">
        <f t="shared" si="8"/>
        <v>15270</v>
      </c>
      <c r="CA53" s="18">
        <f t="shared" si="8"/>
        <v>44010</v>
      </c>
      <c r="CB53" s="18">
        <f t="shared" si="8"/>
        <v>0</v>
      </c>
      <c r="CC53" s="18">
        <f t="shared" si="8"/>
        <v>0</v>
      </c>
      <c r="CD53" s="18">
        <f t="shared" si="8"/>
        <v>14970</v>
      </c>
      <c r="CE53" s="18">
        <f t="shared" si="8"/>
        <v>2498</v>
      </c>
      <c r="CF53" s="18">
        <f t="shared" si="8"/>
        <v>2198</v>
      </c>
      <c r="CG53" s="18">
        <f t="shared" si="8"/>
        <v>500</v>
      </c>
      <c r="CH53" s="18">
        <f t="shared" si="8"/>
        <v>12010</v>
      </c>
      <c r="CI53" s="18">
        <f>SUM(CI4:CI50)</f>
        <v>0</v>
      </c>
      <c r="CJ53" s="18">
        <f t="shared" ref="CJ53:CP53" si="9">SUM(CJ4:CJ51)</f>
        <v>30</v>
      </c>
      <c r="CK53" s="18">
        <f t="shared" si="9"/>
        <v>0</v>
      </c>
      <c r="CL53" s="18">
        <f t="shared" si="9"/>
        <v>13860</v>
      </c>
      <c r="CM53" s="18">
        <f t="shared" si="9"/>
        <v>0</v>
      </c>
      <c r="CN53" s="18">
        <f t="shared" si="9"/>
        <v>600</v>
      </c>
      <c r="CO53" s="18">
        <f t="shared" si="9"/>
        <v>0</v>
      </c>
      <c r="CP53" s="18">
        <f t="shared" si="9"/>
        <v>0</v>
      </c>
      <c r="CQ53" s="18">
        <f>SUM(CQ4:CQ50)</f>
        <v>0</v>
      </c>
      <c r="CR53" s="18">
        <f>SUM(CR4:CR50)</f>
        <v>50</v>
      </c>
      <c r="CS53" s="18">
        <f t="shared" ref="CS53:DA53" si="10">SUM(CS4:CS51)</f>
        <v>0</v>
      </c>
      <c r="CT53" s="18">
        <f t="shared" si="10"/>
        <v>0</v>
      </c>
      <c r="CU53" s="18">
        <f t="shared" si="10"/>
        <v>0</v>
      </c>
      <c r="CV53" s="18">
        <f t="shared" si="10"/>
        <v>0</v>
      </c>
      <c r="CW53" s="18">
        <f t="shared" si="10"/>
        <v>0</v>
      </c>
      <c r="CX53" s="18">
        <f t="shared" si="10"/>
        <v>0</v>
      </c>
      <c r="CY53" s="18">
        <f t="shared" si="10"/>
        <v>0</v>
      </c>
      <c r="CZ53" s="18">
        <f t="shared" si="10"/>
        <v>0</v>
      </c>
      <c r="DA53" s="18">
        <f t="shared" si="10"/>
        <v>500</v>
      </c>
      <c r="DB53" s="18">
        <f>SUM(DB5:DB51)</f>
        <v>0</v>
      </c>
      <c r="DC53" s="18">
        <f>SUM(DC4:DC51)</f>
        <v>500</v>
      </c>
      <c r="DD53" s="18">
        <f>SUM(DD4:DD51)</f>
        <v>0</v>
      </c>
      <c r="DE53" s="18">
        <f>SUM(DE4:DE51)</f>
        <v>0</v>
      </c>
      <c r="DF53" s="18">
        <f>SUM(DF4:DF51)</f>
        <v>9000</v>
      </c>
      <c r="DG53" s="18">
        <f>SUM(DG4:DG51)</f>
        <v>30</v>
      </c>
      <c r="DH53" s="18">
        <f>SUM(DH4:DH50)</f>
        <v>2110</v>
      </c>
      <c r="DI53" s="18">
        <f t="shared" ref="DI53:DW53" si="11">SUM(DI4:DI51)</f>
        <v>0</v>
      </c>
      <c r="DJ53" s="18">
        <f t="shared" si="11"/>
        <v>0</v>
      </c>
      <c r="DK53" s="18">
        <f t="shared" si="11"/>
        <v>0</v>
      </c>
      <c r="DL53" s="18">
        <f t="shared" si="11"/>
        <v>400</v>
      </c>
      <c r="DM53" s="18">
        <f t="shared" si="11"/>
        <v>0</v>
      </c>
      <c r="DN53" s="18">
        <f t="shared" si="11"/>
        <v>330</v>
      </c>
      <c r="DO53" s="18">
        <f t="shared" si="11"/>
        <v>0</v>
      </c>
      <c r="DP53" s="18">
        <f t="shared" si="11"/>
        <v>0</v>
      </c>
      <c r="DQ53" s="18">
        <f t="shared" si="11"/>
        <v>0</v>
      </c>
      <c r="DR53" s="18">
        <f t="shared" si="11"/>
        <v>30300</v>
      </c>
      <c r="DS53" s="18">
        <f t="shared" si="11"/>
        <v>30300</v>
      </c>
      <c r="DT53" s="18">
        <f t="shared" si="11"/>
        <v>3960</v>
      </c>
      <c r="DU53" s="18">
        <f t="shared" si="11"/>
        <v>50</v>
      </c>
      <c r="DV53" s="18">
        <f t="shared" si="11"/>
        <v>0</v>
      </c>
      <c r="DW53" s="18">
        <f t="shared" si="11"/>
        <v>0</v>
      </c>
      <c r="DX53" s="18">
        <f>SUM(DX4:DX50)</f>
        <v>11850</v>
      </c>
      <c r="DY53" s="18">
        <f>SUM(DY4:DY51)</f>
        <v>0</v>
      </c>
      <c r="DZ53" s="18">
        <f>SUM(DZ4:DZ51)</f>
        <v>20000</v>
      </c>
      <c r="EA53" s="18">
        <f>SUM(EA4:EA51)</f>
        <v>0</v>
      </c>
      <c r="EB53" s="18">
        <f>SUM(EB4:EB51)</f>
        <v>0</v>
      </c>
      <c r="EC53" s="18">
        <f>SUM(EC3:EC51)</f>
        <v>0</v>
      </c>
      <c r="ED53" s="18">
        <f>SUM(ED3:ED50)</f>
        <v>0</v>
      </c>
      <c r="EE53" s="18">
        <f>SUM(EE4:EE51)</f>
        <v>0</v>
      </c>
      <c r="EF53" s="18">
        <f>SUM(EF4:EF51)</f>
        <v>0</v>
      </c>
      <c r="EG53" s="18">
        <f>SUM(EG4:EG51)</f>
        <v>0</v>
      </c>
      <c r="EH53" s="18">
        <f>SUM(EH4:EH51)</f>
        <v>0</v>
      </c>
      <c r="EI53" s="18">
        <f>SUM(EI4:EI51)</f>
        <v>0</v>
      </c>
      <c r="EJ53" s="18">
        <f>SUM(EJ3:EJ51)</f>
        <v>0</v>
      </c>
      <c r="EK53" s="18">
        <f>SUM(EK4:EK51)</f>
        <v>50</v>
      </c>
      <c r="EL53" s="18">
        <f>SUM(EL4:EL51)</f>
        <v>0</v>
      </c>
      <c r="EM53" s="18">
        <f>SUM(EM3:EM51)</f>
        <v>0</v>
      </c>
      <c r="EN53" s="18">
        <f>SUM(EN3:EN51)</f>
        <v>0</v>
      </c>
      <c r="EO53" s="18">
        <f>SUM(EO3:EO50)</f>
        <v>0</v>
      </c>
      <c r="EP53" s="18">
        <f>SUM(EP3:EP51)</f>
        <v>0</v>
      </c>
      <c r="EQ53" s="18">
        <f>SUM(EQ5:EQ51)</f>
        <v>0</v>
      </c>
      <c r="ER53" s="18">
        <f>SUM(ER4:ER51)</f>
        <v>0</v>
      </c>
      <c r="ES53" s="18">
        <f>SUM(ES3:ES51)</f>
        <v>0</v>
      </c>
      <c r="ET53" s="18">
        <f>SUM(ET4:ET51)</f>
        <v>50</v>
      </c>
      <c r="EU53" s="18">
        <f>SUM(EU4:EU51)</f>
        <v>50</v>
      </c>
      <c r="EV53" s="18">
        <f>SUM(EV5:EV51)</f>
        <v>50</v>
      </c>
      <c r="EW53" s="18">
        <f>SUM(EW3:EW51)</f>
        <v>50</v>
      </c>
      <c r="EX53" s="18">
        <f>SUM(EX5:EX51)</f>
        <v>0</v>
      </c>
      <c r="EZ53" s="18">
        <f>SUM(EZ22:EZ51)</f>
        <v>0</v>
      </c>
      <c r="FB53" s="18">
        <f>SUM(FB15:FB51)</f>
        <v>100</v>
      </c>
      <c r="FC53" s="18">
        <f>SUM(FC6:FC51)</f>
        <v>60</v>
      </c>
      <c r="FD53" s="18">
        <f>SUM(FD13:FD51)</f>
        <v>30</v>
      </c>
      <c r="FE53" s="18">
        <f>SUM(FE12:FE51)</f>
        <v>30</v>
      </c>
      <c r="FF53" s="18">
        <f>SUM(FF9:FF51)</f>
        <v>30</v>
      </c>
      <c r="FG53" s="18">
        <f>SUM(FG14:FG50)</f>
        <v>30</v>
      </c>
      <c r="FH53" s="18">
        <f>SUM(FH13:FH51)</f>
        <v>0</v>
      </c>
      <c r="FP53" s="43"/>
      <c r="FQ53" s="23"/>
      <c r="FR53" s="23"/>
      <c r="FS53" s="23"/>
      <c r="FT53" s="23"/>
      <c r="FU53" s="23"/>
      <c r="FV53" s="23"/>
      <c r="FW53" s="23"/>
      <c r="FX53" s="23"/>
      <c r="FY53" s="23"/>
      <c r="FZ53" s="23"/>
      <c r="GA53" s="23"/>
      <c r="GB53" s="23"/>
      <c r="GC53" s="23"/>
      <c r="GD53" s="23"/>
      <c r="GE53" s="23"/>
      <c r="GF53" s="23"/>
      <c r="GG53" s="23"/>
      <c r="GH53" s="23"/>
      <c r="GI53" s="23"/>
      <c r="GJ53" s="23"/>
      <c r="GK53" s="23"/>
      <c r="GL53" s="23"/>
      <c r="GM53" s="23"/>
      <c r="GN53" s="23"/>
      <c r="GO53" s="23"/>
      <c r="GP53" s="23"/>
      <c r="GQ53" s="23"/>
      <c r="GR53" s="23"/>
      <c r="GS53" s="23"/>
      <c r="GT53" s="23"/>
      <c r="GU53" s="23"/>
      <c r="GV53" s="23"/>
      <c r="GW53" s="23"/>
      <c r="GX53" s="23"/>
      <c r="GY53" s="23"/>
      <c r="GZ53" s="23"/>
      <c r="HA53" s="23"/>
      <c r="HB53" s="23"/>
      <c r="HC53" s="23"/>
      <c r="HD53" s="23"/>
      <c r="HE53" s="23"/>
      <c r="HF53" s="23"/>
      <c r="HG53" s="23"/>
      <c r="HH53" s="23"/>
      <c r="HI53" s="23"/>
      <c r="HJ53" s="23"/>
      <c r="HK53" s="23"/>
      <c r="HL53" s="23"/>
      <c r="HM53" s="23"/>
      <c r="HN53" s="23"/>
      <c r="HO53" s="23"/>
      <c r="HP53" s="23"/>
      <c r="HQ53" s="23"/>
      <c r="HR53" s="23"/>
      <c r="HS53" s="23"/>
      <c r="HT53" s="23"/>
      <c r="HU53" s="23"/>
      <c r="HV53" s="23"/>
      <c r="HW53" s="23"/>
      <c r="HX53" s="23"/>
      <c r="HY53" s="23"/>
      <c r="HZ53" s="23"/>
      <c r="IA53" s="23"/>
      <c r="IB53" s="23"/>
      <c r="IC53" s="23"/>
      <c r="ID53" s="23"/>
      <c r="IE53" s="23"/>
      <c r="IF53" s="23"/>
      <c r="IG53" s="23"/>
      <c r="IH53" s="23"/>
      <c r="II53" s="23"/>
      <c r="IJ53" s="23"/>
      <c r="IK53" s="23"/>
      <c r="IL53" s="23"/>
      <c r="IM53" s="23"/>
      <c r="IN53" s="23"/>
      <c r="IO53" s="23"/>
      <c r="IP53" s="23"/>
      <c r="IQ53" s="23"/>
      <c r="IR53" s="23"/>
      <c r="IS53" s="23"/>
      <c r="IT53" s="23"/>
      <c r="IU53" s="23"/>
      <c r="IV53" s="23"/>
      <c r="IW53" s="23"/>
      <c r="IX53" s="23"/>
      <c r="IY53" s="23"/>
      <c r="IZ53" s="23"/>
      <c r="JA53" s="23"/>
      <c r="JB53" s="23"/>
      <c r="JC53" s="23"/>
      <c r="JD53" s="23"/>
      <c r="JE53" s="23"/>
      <c r="JF53" s="23"/>
      <c r="JG53" s="23"/>
      <c r="JH53" s="23"/>
      <c r="JI53" s="23"/>
      <c r="JJ53" s="23"/>
      <c r="JK53" s="23"/>
      <c r="JL53" s="23"/>
      <c r="JM53" s="23"/>
      <c r="JN53" s="23"/>
      <c r="JO53" s="23"/>
      <c r="JP53" s="23"/>
      <c r="JQ53" s="23"/>
      <c r="JR53" s="23"/>
      <c r="JS53" s="23"/>
      <c r="JT53" s="23"/>
      <c r="JU53" s="23"/>
      <c r="JV53" s="23"/>
      <c r="JW53" s="23"/>
      <c r="JX53" s="23"/>
      <c r="JY53" s="23"/>
      <c r="JZ53" s="23"/>
      <c r="KA53" s="23"/>
      <c r="KB53" s="23"/>
      <c r="KC53" s="23"/>
      <c r="KD53" s="23"/>
      <c r="KE53" s="23"/>
      <c r="KF53" s="23"/>
      <c r="KG53" s="23"/>
      <c r="KH53" s="23"/>
      <c r="KI53" s="23"/>
      <c r="KJ53" s="23"/>
      <c r="KK53" s="23"/>
      <c r="KL53" s="23"/>
      <c r="KM53" s="23"/>
      <c r="KN53" s="23"/>
      <c r="KO53" s="23"/>
      <c r="KP53" s="23"/>
      <c r="KQ53" s="23"/>
      <c r="KR53" s="23"/>
      <c r="KS53" s="23"/>
      <c r="KT53" s="23"/>
      <c r="KU53" s="23"/>
      <c r="KV53" s="23"/>
      <c r="KW53" s="23"/>
      <c r="KX53" s="23"/>
      <c r="KY53" s="23"/>
      <c r="KZ53" s="23"/>
      <c r="LA53" s="23"/>
      <c r="LB53" s="23"/>
      <c r="LC53" s="23"/>
      <c r="LD53" s="23"/>
      <c r="LE53" s="23"/>
      <c r="LF53" s="23"/>
      <c r="LG53" s="23"/>
      <c r="LH53" s="23"/>
      <c r="LI53" s="23"/>
      <c r="LJ53" s="23"/>
      <c r="LK53" s="23"/>
      <c r="LL53" s="23"/>
      <c r="LM53" s="23"/>
    </row>
    <row r="54" spans="1:325" s="18" customFormat="1" ht="15.75" thickBot="1" x14ac:dyDescent="0.3">
      <c r="A54" s="53" t="s">
        <v>80</v>
      </c>
      <c r="B54" s="34"/>
      <c r="C54" s="18" cm="1">
        <f t="array" aca="1" ref="C54" ca="1">INDIRECT(ADDRESS(4,COLUMN(),,,"Plan2"))*SUM(Plan2!C5:C100)</f>
        <v>9000</v>
      </c>
      <c r="D54" s="18" cm="1">
        <f t="array" aca="1" ref="D54" ca="1">INDIRECT(ADDRESS(4,COLUMN(),,,"Plan2"))*SUM(Plan2!D5:D100)</f>
        <v>1500</v>
      </c>
      <c r="E54" s="18" cm="1">
        <f t="array" aca="1" ref="E54" ca="1">INDIRECT(ADDRESS(4,COLUMN(),,,"Plan2"))*SUM(Plan2!E5:E100)</f>
        <v>300</v>
      </c>
      <c r="F54" s="18" cm="1">
        <f t="array" aca="1" ref="F54" ca="1">INDIRECT(ADDRESS(4,COLUMN(),,,"Plan2"))*SUM(Plan2!F5:F100)</f>
        <v>0</v>
      </c>
      <c r="G54" s="18" cm="1">
        <f t="array" aca="1" ref="G54" ca="1">INDIRECT(ADDRESS(4,COLUMN(),,,"Plan2"))*SUM(Plan2!G5:G100)</f>
        <v>0</v>
      </c>
      <c r="H54" s="18" cm="1">
        <f t="array" aca="1" ref="H54" ca="1">INDIRECT(ADDRESS(4,COLUMN(),,,"Plan2"))*SUM(Plan2!H5:H100)</f>
        <v>0</v>
      </c>
      <c r="I54" s="18" cm="1">
        <f t="array" aca="1" ref="I54" ca="1">INDIRECT(ADDRESS(4,COLUMN(),,,"Plan2"))*SUM(Plan2!I5:I100)</f>
        <v>0</v>
      </c>
      <c r="J54" s="18" cm="1">
        <f t="array" aca="1" ref="J54" ca="1">INDIRECT(ADDRESS(4,COLUMN(),,,"Plan2"))*SUM(Plan2!J5:J100)</f>
        <v>0</v>
      </c>
      <c r="K54" s="18" cm="1">
        <f t="array" aca="1" ref="K54" ca="1">INDIRECT(ADDRESS(4,COLUMN(),,,"Plan2"))*SUM(Plan2!K5:K100)</f>
        <v>0</v>
      </c>
      <c r="L54" s="18" cm="1">
        <f t="array" aca="1" ref="L54" ca="1">INDIRECT(ADDRESS(4,COLUMN(),,,"Plan2"))*SUM(Plan2!L5:L100)</f>
        <v>0</v>
      </c>
      <c r="M54" s="18" cm="1">
        <f t="array" aca="1" ref="M54" ca="1">INDIRECT(ADDRESS(4,COLUMN(),,,"Plan2"))*SUM(Plan2!M5:M100)</f>
        <v>0</v>
      </c>
      <c r="N54" s="18" cm="1">
        <f t="array" aca="1" ref="N54" ca="1">INDIRECT(ADDRESS(4,COLUMN(),,,"Plan2"))*SUM(Plan2!N5:N100)</f>
        <v>0</v>
      </c>
      <c r="O54" s="18" cm="1">
        <f t="array" aca="1" ref="O54" ca="1">INDIRECT(ADDRESS(4,COLUMN(),,,"Plan2"))*SUM(Plan2!O5:O100)</f>
        <v>0</v>
      </c>
      <c r="P54" s="18" cm="1">
        <f t="array" aca="1" ref="P54" ca="1">INDIRECT(ADDRESS(4,COLUMN(),,,"Plan2"))*SUM(Plan2!P5:P100)</f>
        <v>0</v>
      </c>
      <c r="Q54" s="18" cm="1">
        <f t="array" aca="1" ref="Q54" ca="1">INDIRECT(ADDRESS(4,COLUMN(),,,"Plan2"))*SUM(Plan2!Q5:Q100)</f>
        <v>0</v>
      </c>
      <c r="R54" s="18" cm="1">
        <f t="array" aca="1" ref="R54" ca="1">INDIRECT(ADDRESS(4,COLUMN(),,,"Plan2"))*SUM(Plan2!R5:R100)</f>
        <v>0</v>
      </c>
      <c r="S54" s="18" cm="1">
        <f t="array" aca="1" ref="S54" ca="1">INDIRECT(ADDRESS(4,COLUMN(),,,"Plan2"))*SUM(Plan2!S5:S100)</f>
        <v>0</v>
      </c>
      <c r="T54" s="18" cm="1">
        <f t="array" aca="1" ref="T54" ca="1">INDIRECT(ADDRESS(4,COLUMN(),,,"Plan2"))*SUM(Plan2!T5:T100)</f>
        <v>0</v>
      </c>
      <c r="U54" s="18" cm="1">
        <f t="array" aca="1" ref="U54" ca="1">INDIRECT(ADDRESS(4,COLUMN(),,,"Plan2"))*SUM(Plan2!U5:U100)</f>
        <v>0</v>
      </c>
      <c r="V54" s="18" cm="1">
        <f t="array" aca="1" ref="V54" ca="1">INDIRECT(ADDRESS(4,COLUMN(),,,"Plan2"))*SUM(Plan2!V5:V100)</f>
        <v>0</v>
      </c>
      <c r="W54" s="18" cm="1">
        <f t="array" aca="1" ref="W54" ca="1">INDIRECT(ADDRESS(4,COLUMN(),,,"Plan2"))*SUM(Plan2!W5:W100)</f>
        <v>0</v>
      </c>
      <c r="X54" s="18" cm="1">
        <f t="array" aca="1" ref="X54" ca="1">INDIRECT(ADDRESS(4,COLUMN(),,,"Plan2"))*SUM(Plan2!X5:X100)</f>
        <v>0</v>
      </c>
      <c r="Y54" s="18" cm="1">
        <f t="array" aca="1" ref="Y54" ca="1">INDIRECT(ADDRESS(4,COLUMN(),,,"Plan2"))*SUM(Plan2!Y5:Y100)</f>
        <v>0</v>
      </c>
      <c r="Z54" s="18" cm="1">
        <f t="array" aca="1" ref="Z54" ca="1">INDIRECT(ADDRESS(4,COLUMN(),,,"Plan2"))*SUM(Plan2!Z5:Z100)</f>
        <v>0</v>
      </c>
      <c r="AA54" s="18" cm="1">
        <f t="array" aca="1" ref="AA54" ca="1">INDIRECT(ADDRESS(4,COLUMN(),,,"Plan2"))*SUM(Plan2!AA5:AA100)</f>
        <v>0</v>
      </c>
      <c r="AB54" s="18" cm="1">
        <f t="array" aca="1" ref="AB54" ca="1">INDIRECT(ADDRESS(4,COLUMN(),,,"Plan2"))*SUM(Plan2!AB5:AB100)</f>
        <v>0</v>
      </c>
      <c r="AC54" s="18" cm="1">
        <f t="array" aca="1" ref="AC54" ca="1">INDIRECT(ADDRESS(4,COLUMN(),,,"Plan2"))*SUM(Plan2!AC5:AC100)</f>
        <v>0</v>
      </c>
      <c r="AD54" s="18" cm="1">
        <f t="array" aca="1" ref="AD54" ca="1">INDIRECT(ADDRESS(4,COLUMN(),,,"Plan2"))*SUM(Plan2!AD5:AD100)</f>
        <v>0</v>
      </c>
      <c r="AE54" s="18" cm="1">
        <f t="array" aca="1" ref="AE54" ca="1">INDIRECT(ADDRESS(4,COLUMN(),,,"Plan2"))*SUM(Plan2!AE5:AE100)</f>
        <v>0</v>
      </c>
      <c r="AF54" s="18" cm="1">
        <f t="array" aca="1" ref="AF54" ca="1">INDIRECT(ADDRESS(4,COLUMN(),,,"Plan2"))*SUM(Plan2!AF5:AF100)</f>
        <v>0</v>
      </c>
      <c r="AG54" s="18" cm="1">
        <f t="array" aca="1" ref="AG54" ca="1">INDIRECT(ADDRESS(4,COLUMN(),,,"Plan2"))*SUM(Plan2!AG5:AG100)</f>
        <v>0</v>
      </c>
      <c r="AH54" s="18" cm="1">
        <f t="array" aca="1" ref="AH54" ca="1">INDIRECT(ADDRESS(4,COLUMN(),,,"Plan2"))*SUM(Plan2!AH5:AH100)</f>
        <v>0</v>
      </c>
      <c r="AI54" s="18" cm="1">
        <f t="array" aca="1" ref="AI54" ca="1">INDIRECT(ADDRESS(4,COLUMN(),,,"Plan2"))*SUM(Plan2!AI5:AI100)</f>
        <v>0</v>
      </c>
      <c r="AJ54" s="18" cm="1">
        <f t="array" aca="1" ref="AJ54" ca="1">INDIRECT(ADDRESS(4,COLUMN(),,,"Plan2"))*SUM(Plan2!AJ5:AJ100)</f>
        <v>0</v>
      </c>
      <c r="AK54" s="18" cm="1">
        <f t="array" aca="1" ref="AK54" ca="1">INDIRECT(ADDRESS(4,COLUMN(),,,"Plan2"))*SUM(Plan2!AK5:AK100)</f>
        <v>0</v>
      </c>
      <c r="AL54" s="18" cm="1">
        <f t="array" aca="1" ref="AL54" ca="1">INDIRECT(ADDRESS(4,COLUMN(),,,"Plan2"))*SUM(Plan2!AL5:AL100)</f>
        <v>0</v>
      </c>
      <c r="AM54" s="18" cm="1">
        <f t="array" aca="1" ref="AM54" ca="1">INDIRECT(ADDRESS(4,COLUMN(),,,"Plan2"))*SUM(Plan2!AM5:AM100)</f>
        <v>0</v>
      </c>
      <c r="AN54" s="18" cm="1">
        <f t="array" aca="1" ref="AN54" ca="1">INDIRECT(ADDRESS(4,COLUMN(),,,"Plan2"))*SUM(Plan2!AN5:AN100)</f>
        <v>0</v>
      </c>
      <c r="AO54" s="18" cm="1">
        <f t="array" aca="1" ref="AO54" ca="1">INDIRECT(ADDRESS(4,COLUMN(),,,"Plan2"))*SUM(Plan2!AO5:AO100)</f>
        <v>0</v>
      </c>
      <c r="AP54" s="18" cm="1">
        <f t="array" aca="1" ref="AP54" ca="1">INDIRECT(ADDRESS(4,COLUMN(),,,"Plan2"))*SUM(Plan2!AP5:AP100)</f>
        <v>0</v>
      </c>
      <c r="AQ54" s="18" cm="1">
        <f t="array" aca="1" ref="AQ54" ca="1">INDIRECT(ADDRESS(4,COLUMN(),,,"Plan2"))*SUM(Plan2!AQ5:AQ100)</f>
        <v>0</v>
      </c>
      <c r="AR54" s="18" cm="1">
        <f t="array" aca="1" ref="AR54" ca="1">INDIRECT(ADDRESS(4,COLUMN(),,,"Plan2"))*SUM(Plan2!AR5:AR100)</f>
        <v>0</v>
      </c>
      <c r="AS54" s="18" cm="1">
        <f t="array" aca="1" ref="AS54" ca="1">INDIRECT(ADDRESS(4,COLUMN(),,,"Plan2"))*SUM(Plan2!AS5:AS100)</f>
        <v>0</v>
      </c>
      <c r="AT54" s="18" cm="1">
        <f t="array" aca="1" ref="AT54" ca="1">INDIRECT(ADDRESS(4,COLUMN(),,,"Plan2"))*SUM(Plan2!AT5:AT100)</f>
        <v>0</v>
      </c>
      <c r="AU54" s="18" cm="1">
        <f t="array" aca="1" ref="AU54" ca="1">INDIRECT(ADDRESS(4,COLUMN(),,,"Plan2"))*SUM(Plan2!AU5:AU100)</f>
        <v>0</v>
      </c>
      <c r="AV54" s="18" cm="1">
        <f t="array" aca="1" ref="AV54" ca="1">INDIRECT(ADDRESS(4,COLUMN(),,,"Plan2"))*SUM(Plan2!AV5:AV100)</f>
        <v>0</v>
      </c>
      <c r="AW54" s="18" cm="1">
        <f t="array" aca="1" ref="AW54" ca="1">INDIRECT(ADDRESS(4,COLUMN(),,,"Plan2"))*SUM(Plan2!AW5:AW100)</f>
        <v>0</v>
      </c>
      <c r="AX54" s="18" cm="1">
        <f t="array" aca="1" ref="AX54" ca="1">INDIRECT(ADDRESS(4,COLUMN(),,,"Plan2"))*SUM(Plan2!AX5:AX100)</f>
        <v>0</v>
      </c>
      <c r="AY54" s="18" cm="1">
        <f t="array" aca="1" ref="AY54" ca="1">INDIRECT(ADDRESS(4,COLUMN(),,,"Plan2"))*SUM(Plan2!AY5:AY100)</f>
        <v>0</v>
      </c>
      <c r="AZ54" s="18" cm="1">
        <f t="array" aca="1" ref="AZ54" ca="1">INDIRECT(ADDRESS(4,COLUMN(),,,"Plan2"))*SUM(Plan2!AZ5:AZ100)</f>
        <v>0</v>
      </c>
      <c r="BA54" s="18" cm="1">
        <f t="array" aca="1" ref="BA54" ca="1">INDIRECT(ADDRESS(4,COLUMN(),,,"Plan2"))*SUM(Plan2!BA5:BA100)</f>
        <v>0</v>
      </c>
      <c r="BB54" s="18" cm="1">
        <f t="array" aca="1" ref="BB54" ca="1">INDIRECT(ADDRESS(4,COLUMN(),,,"Plan2"))*SUM(Plan2!BB5:BB100)</f>
        <v>0</v>
      </c>
      <c r="BC54" s="18" cm="1">
        <f t="array" aca="1" ref="BC54" ca="1">INDIRECT(ADDRESS(4,COLUMN(),,,"Plan2"))*SUM(Plan2!BC5:BC100)</f>
        <v>0</v>
      </c>
      <c r="BD54" s="18" cm="1">
        <f t="array" aca="1" ref="BD54" ca="1">INDIRECT(ADDRESS(4,COLUMN(),,,"Plan2"))*SUM(Plan2!BD5:BD100)</f>
        <v>0</v>
      </c>
      <c r="BE54" s="18" cm="1">
        <f t="array" aca="1" ref="BE54" ca="1">INDIRECT(ADDRESS(4,COLUMN(),,,"Plan2"))*SUM(Plan2!BE5:BE100)</f>
        <v>0</v>
      </c>
      <c r="BF54" s="18" cm="1">
        <f t="array" aca="1" ref="BF54" ca="1">INDIRECT(ADDRESS(4,COLUMN(),,,"Plan2"))*SUM(Plan2!BF5:BF100)</f>
        <v>0</v>
      </c>
      <c r="BG54" s="18" cm="1">
        <f t="array" aca="1" ref="BG54" ca="1">INDIRECT(ADDRESS(4,COLUMN(),,,"Plan2"))*SUM(Plan2!BG5:BG100)</f>
        <v>0</v>
      </c>
      <c r="BH54" s="18" cm="1">
        <f t="array" aca="1" ref="BH54" ca="1">INDIRECT(ADDRESS(4,COLUMN(),,,"Plan2"))*SUM(Plan2!BH5:BH100)</f>
        <v>0</v>
      </c>
      <c r="BI54" s="18" cm="1">
        <f t="array" aca="1" ref="BI54" ca="1">INDIRECT(ADDRESS(4,COLUMN(),,,"Plan2"))*SUM(Plan2!BI5:BI100)</f>
        <v>0</v>
      </c>
      <c r="BJ54" s="18" cm="1">
        <f t="array" aca="1" ref="BJ54" ca="1">INDIRECT(ADDRESS(4,COLUMN(),,,"Plan2"))*SUM(Plan2!BJ5:BJ100)</f>
        <v>0</v>
      </c>
      <c r="BK54" s="18" cm="1">
        <f t="array" aca="1" ref="BK54" ca="1">INDIRECT(ADDRESS(4,COLUMN(),,,"Plan2"))*SUM(Plan2!BK5:BK100)</f>
        <v>0</v>
      </c>
      <c r="BL54" s="18" cm="1">
        <f t="array" aca="1" ref="BL54" ca="1">INDIRECT(ADDRESS(4,COLUMN(),,,"Plan2"))*SUM(Plan2!BL5:BL100)</f>
        <v>0</v>
      </c>
      <c r="BM54" s="18" cm="1">
        <f t="array" aca="1" ref="BM54" ca="1">INDIRECT(ADDRESS(4,COLUMN(),,,"Plan2"))*SUM(Plan2!BM5:BM100)</f>
        <v>0</v>
      </c>
      <c r="BN54" s="18" cm="1">
        <f t="array" aca="1" ref="BN54" ca="1">INDIRECT(ADDRESS(4,COLUMN(),,,"Plan2"))*SUM(Plan2!BN5:BN100)</f>
        <v>0</v>
      </c>
      <c r="BO54" s="18" cm="1">
        <f t="array" aca="1" ref="BO54" ca="1">INDIRECT(ADDRESS(4,COLUMN(),,,"Plan2"))*SUM(Plan2!BO5:BO100)</f>
        <v>0</v>
      </c>
      <c r="BP54" s="18" cm="1">
        <f t="array" aca="1" ref="BP54" ca="1">INDIRECT(ADDRESS(4,COLUMN(),,,"Plan2"))*SUM(Plan2!BP5:BP100)</f>
        <v>0</v>
      </c>
      <c r="BQ54" s="18" cm="1">
        <f t="array" aca="1" ref="BQ54" ca="1">INDIRECT(ADDRESS(4,COLUMN(),,,"Plan2"))*SUM(Plan2!BQ5:BQ100)</f>
        <v>0</v>
      </c>
      <c r="BR54" s="18" cm="1">
        <f t="array" aca="1" ref="BR54" ca="1">INDIRECT(ADDRESS(4,COLUMN(),,,"Plan2"))*SUM(Plan2!BR5:BR100)</f>
        <v>0</v>
      </c>
      <c r="BS54" s="18" cm="1">
        <f t="array" aca="1" ref="BS54" ca="1">INDIRECT(ADDRESS(4,COLUMN(),,,"Plan2"))*SUM(Plan2!BS5:BS100)</f>
        <v>0</v>
      </c>
      <c r="BT54" s="18" cm="1">
        <f t="array" aca="1" ref="BT54" ca="1">INDIRECT(ADDRESS(4,COLUMN(),,,"Plan2"))*SUM(Plan2!BT5:BT100)</f>
        <v>0</v>
      </c>
      <c r="BU54" s="18" cm="1">
        <f t="array" aca="1" ref="BU54" ca="1">INDIRECT(ADDRESS(4,COLUMN(),,,"Plan2"))*SUM(Plan2!BU5:BU100)</f>
        <v>0</v>
      </c>
      <c r="BV54" s="18" cm="1">
        <f t="array" aca="1" ref="BV54" ca="1">INDIRECT(ADDRESS(4,COLUMN(),,,"Plan2"))*SUM(Plan2!BV5:BV100)</f>
        <v>0</v>
      </c>
      <c r="BW54" s="18" cm="1">
        <f t="array" aca="1" ref="BW54" ca="1">INDIRECT(ADDRESS(4,COLUMN(),,,"Plan2"))*SUM(Plan2!BW5:BW100)</f>
        <v>0</v>
      </c>
      <c r="BX54" s="18" cm="1">
        <f t="array" aca="1" ref="BX54" ca="1">INDIRECT(ADDRESS(4,COLUMN(),,,"Plan2"))*SUM(Plan2!BX5:BX100)</f>
        <v>0</v>
      </c>
      <c r="BY54" s="18" cm="1">
        <f t="array" aca="1" ref="BY54" ca="1">INDIRECT(ADDRESS(4,COLUMN(),,,"Plan2"))*SUM(Plan2!BY5:BY100)</f>
        <v>0</v>
      </c>
      <c r="BZ54" s="18" cm="1">
        <f t="array" aca="1" ref="BZ54" ca="1">INDIRECT(ADDRESS(4,COLUMN(),,,"Plan2"))*SUM(Plan2!BZ5:BZ100)</f>
        <v>0</v>
      </c>
      <c r="CA54" s="18" cm="1">
        <f t="array" aca="1" ref="CA54" ca="1">INDIRECT(ADDRESS(4,COLUMN(),,,"Plan2"))*SUM(Plan2!CA5:CA100)</f>
        <v>0</v>
      </c>
      <c r="CB54" s="18" cm="1">
        <f t="array" aca="1" ref="CB54" ca="1">INDIRECT(ADDRESS(4,COLUMN(),,,"Plan2"))*SUM(Plan2!CB5:CB100)</f>
        <v>0</v>
      </c>
      <c r="CC54" s="18" cm="1">
        <f t="array" aca="1" ref="CC54" ca="1">INDIRECT(ADDRESS(4,COLUMN(),,,"Plan2"))*SUM(Plan2!CC5:CC100)</f>
        <v>0</v>
      </c>
      <c r="CD54" s="18" cm="1">
        <f t="array" aca="1" ref="CD54" ca="1">INDIRECT(ADDRESS(4,COLUMN(),,,"Plan2"))*SUM(Plan2!CD5:CD100)</f>
        <v>0</v>
      </c>
      <c r="CE54" s="18" cm="1">
        <f t="array" aca="1" ref="CE54" ca="1">INDIRECT(ADDRESS(4,COLUMN(),,,"Plan2"))*SUM(Plan2!CE5:CE100)</f>
        <v>0</v>
      </c>
      <c r="CF54" s="18" cm="1">
        <f t="array" aca="1" ref="CF54" ca="1">INDIRECT(ADDRESS(4,COLUMN(),,,"Plan2"))*SUM(Plan2!CF5:CF100)</f>
        <v>0</v>
      </c>
      <c r="CG54" s="18" cm="1">
        <f t="array" aca="1" ref="CG54" ca="1">INDIRECT(ADDRESS(4,COLUMN(),,,"Plan2"))*SUM(Plan2!CG5:CG100)</f>
        <v>0</v>
      </c>
      <c r="CH54" s="18" cm="1">
        <f t="array" aca="1" ref="CH54" ca="1">INDIRECT(ADDRESS(4,COLUMN(),,,"Plan2"))*SUM(Plan2!CH5:CH100)</f>
        <v>0</v>
      </c>
      <c r="CI54" s="18" cm="1">
        <f t="array" aca="1" ref="CI54" ca="1">INDIRECT(ADDRESS(4,COLUMN(),,,"Plan2"))*SUM(Plan2!CI5:CI100)</f>
        <v>0</v>
      </c>
      <c r="CJ54" s="18" cm="1">
        <f t="array" aca="1" ref="CJ54" ca="1">INDIRECT(ADDRESS(4,COLUMN(),,,"Plan2"))*SUM(Plan2!CJ5:CJ100)</f>
        <v>0</v>
      </c>
      <c r="CK54" s="18" cm="1">
        <f t="array" aca="1" ref="CK54" ca="1">INDIRECT(ADDRESS(4,COLUMN(),,,"Plan2"))*SUM(Plan2!CK5:CK100)</f>
        <v>0</v>
      </c>
      <c r="CL54" s="18" cm="1">
        <f t="array" aca="1" ref="CL54" ca="1">INDIRECT(ADDRESS(4,COLUMN(),,,"Plan2"))*SUM(Plan2!CL5:CL100)</f>
        <v>0</v>
      </c>
      <c r="CM54" s="18" cm="1">
        <f t="array" aca="1" ref="CM54" ca="1">INDIRECT(ADDRESS(4,COLUMN(),,,"Plan2"))*SUM(Plan2!CM5:CM100)</f>
        <v>0</v>
      </c>
      <c r="CN54" s="18" cm="1">
        <f t="array" aca="1" ref="CN54" ca="1">INDIRECT(ADDRESS(4,COLUMN(),,,"Plan2"))*SUM(Plan2!CN5:CN100)</f>
        <v>0</v>
      </c>
      <c r="CO54" s="18" cm="1">
        <f t="array" aca="1" ref="CO54" ca="1">INDIRECT(ADDRESS(4,COLUMN(),,,"Plan2"))*SUM(Plan2!CO5:CO100)</f>
        <v>0</v>
      </c>
      <c r="CP54" s="18" cm="1">
        <f t="array" aca="1" ref="CP54" ca="1">INDIRECT(ADDRESS(4,COLUMN(),,,"Plan2"))*SUM(Plan2!CP5:CP100)</f>
        <v>0</v>
      </c>
      <c r="CQ54" s="18" cm="1">
        <f t="array" aca="1" ref="CQ54" ca="1">INDIRECT(ADDRESS(4,COLUMN(),,,"Plan2"))*SUM(Plan2!CQ5:CQ100)</f>
        <v>0</v>
      </c>
      <c r="CR54" s="18" cm="1">
        <f t="array" aca="1" ref="CR54" ca="1">INDIRECT(ADDRESS(4,COLUMN(),,,"Plan2"))*SUM(Plan2!CR5:CR100)</f>
        <v>0</v>
      </c>
      <c r="CS54" s="18" cm="1">
        <f t="array" aca="1" ref="CS54" ca="1">INDIRECT(ADDRESS(4,COLUMN(),,,"Plan2"))*SUM(Plan2!CS5:CS100)</f>
        <v>0</v>
      </c>
      <c r="CT54" s="18" cm="1">
        <f t="array" aca="1" ref="CT54" ca="1">INDIRECT(ADDRESS(4,COLUMN(),,,"Plan2"))*SUM(Plan2!CT5:CT100)</f>
        <v>0</v>
      </c>
      <c r="CU54" s="18" cm="1">
        <f t="array" aca="1" ref="CU54" ca="1">INDIRECT(ADDRESS(4,COLUMN(),,,"Plan2"))*SUM(Plan2!CU5:CU100)</f>
        <v>0</v>
      </c>
      <c r="CV54" s="18" cm="1">
        <f t="array" aca="1" ref="CV54" ca="1">INDIRECT(ADDRESS(4,COLUMN(),,,"Plan2"))*SUM(Plan2!CV5:CV100)</f>
        <v>0</v>
      </c>
      <c r="CW54" s="18" cm="1">
        <f t="array" aca="1" ref="CW54" ca="1">INDIRECT(ADDRESS(4,COLUMN(),,,"Plan2"))*SUM(Plan2!CW5:CW100)</f>
        <v>0</v>
      </c>
      <c r="CX54" s="18" cm="1">
        <f t="array" aca="1" ref="CX54" ca="1">INDIRECT(ADDRESS(4,COLUMN(),,,"Plan2"))*SUM(Plan2!CX5:CX100)</f>
        <v>0</v>
      </c>
      <c r="CY54" s="18" cm="1">
        <f t="array" aca="1" ref="CY54" ca="1">INDIRECT(ADDRESS(4,COLUMN(),,,"Plan2"))*SUM(Plan2!CY5:CY100)</f>
        <v>0</v>
      </c>
      <c r="CZ54" s="18" cm="1">
        <f t="array" aca="1" ref="CZ54" ca="1">INDIRECT(ADDRESS(4,COLUMN(),,,"Plan2"))*SUM(Plan2!CZ5:CZ100)</f>
        <v>0</v>
      </c>
      <c r="DA54" s="18" cm="1">
        <f t="array" aca="1" ref="DA54" ca="1">INDIRECT(ADDRESS(4,COLUMN(),,,"Plan2"))*SUM(Plan2!DA5:DA100)</f>
        <v>0</v>
      </c>
      <c r="DB54" s="18" cm="1">
        <f t="array" aca="1" ref="DB54" ca="1">INDIRECT(ADDRESS(4,COLUMN(),,,"Plan2"))*SUM(Plan2!DB5:DB100)</f>
        <v>0</v>
      </c>
      <c r="DC54" s="18" cm="1">
        <f t="array" aca="1" ref="DC54" ca="1">INDIRECT(ADDRESS(4,COLUMN(),,,"Plan2"))*SUM(Plan2!DC5:DC100)</f>
        <v>0</v>
      </c>
      <c r="DD54" s="18" cm="1">
        <f t="array" aca="1" ref="DD54" ca="1">INDIRECT(ADDRESS(4,COLUMN(),,,"Plan2"))*SUM(Plan2!DD5:DD100)</f>
        <v>0</v>
      </c>
      <c r="DE54" s="18" cm="1">
        <f t="array" aca="1" ref="DE54" ca="1">INDIRECT(ADDRESS(4,COLUMN(),,,"Plan2"))*SUM(Plan2!DE5:DE100)</f>
        <v>0</v>
      </c>
      <c r="DF54" s="18" cm="1">
        <f t="array" aca="1" ref="DF54" ca="1">INDIRECT(ADDRESS(4,COLUMN(),,,"Plan2"))*SUM(Plan2!DF5:DF100)</f>
        <v>0</v>
      </c>
      <c r="DG54" s="18" cm="1">
        <f t="array" aca="1" ref="DG54" ca="1">INDIRECT(ADDRESS(4,COLUMN(),,,"Plan2"))*SUM(Plan2!DG5:DG100)</f>
        <v>0</v>
      </c>
      <c r="DH54" s="18" cm="1">
        <f t="array" aca="1" ref="DH54" ca="1">INDIRECT(ADDRESS(4,COLUMN(),,,"Plan2"))*SUM(Plan2!DH5:DH100)</f>
        <v>0</v>
      </c>
      <c r="DI54" s="18" cm="1">
        <f t="array" aca="1" ref="DI54" ca="1">INDIRECT(ADDRESS(4,COLUMN(),,,"Plan2"))*SUM(Plan2!DI5:DI100)</f>
        <v>0</v>
      </c>
      <c r="DJ54" s="18" cm="1">
        <f t="array" aca="1" ref="DJ54" ca="1">INDIRECT(ADDRESS(4,COLUMN(),,,"Plan2"))*SUM(Plan2!DJ5:DJ100)</f>
        <v>0</v>
      </c>
      <c r="DK54" s="18" cm="1">
        <f t="array" aca="1" ref="DK54" ca="1">INDIRECT(ADDRESS(4,COLUMN(),,,"Plan2"))*SUM(Plan2!DK5:DK100)</f>
        <v>0</v>
      </c>
      <c r="DL54" s="18" cm="1">
        <f t="array" aca="1" ref="DL54" ca="1">INDIRECT(ADDRESS(4,COLUMN(),,,"Plan2"))*SUM(Plan2!DL5:DL100)</f>
        <v>0</v>
      </c>
      <c r="DM54" s="18" cm="1">
        <f t="array" aca="1" ref="DM54" ca="1">INDIRECT(ADDRESS(4,COLUMN(),,,"Plan2"))*SUM(Plan2!DM5:DM100)</f>
        <v>0</v>
      </c>
      <c r="DN54" s="18" cm="1">
        <f t="array" aca="1" ref="DN54" ca="1">INDIRECT(ADDRESS(4,COLUMN(),,,"Plan2"))*SUM(Plan2!DN5:DN100)</f>
        <v>0</v>
      </c>
      <c r="DO54" s="18" cm="1">
        <f t="array" aca="1" ref="DO54" ca="1">INDIRECT(ADDRESS(4,COLUMN(),,,"Plan2"))*SUM(Plan2!DO5:DO100)</f>
        <v>0</v>
      </c>
      <c r="DP54" s="18" cm="1">
        <f t="array" aca="1" ref="DP54" ca="1">INDIRECT(ADDRESS(4,COLUMN(),,,"Plan2"))*SUM(Plan2!DP5:DP100)</f>
        <v>0</v>
      </c>
      <c r="DQ54" s="18" cm="1">
        <f t="array" aca="1" ref="DQ54" ca="1">INDIRECT(ADDRESS(4,COLUMN(),,,"Plan2"))*SUM(Plan2!DQ5:DQ100)</f>
        <v>0</v>
      </c>
      <c r="DR54" s="18" cm="1">
        <f t="array" aca="1" ref="DR54" ca="1">INDIRECT(ADDRESS(4,COLUMN(),,,"Plan2"))*SUM(Plan2!DR5:DR100)</f>
        <v>0</v>
      </c>
      <c r="DS54" s="18" cm="1">
        <f t="array" aca="1" ref="DS54" ca="1">INDIRECT(ADDRESS(4,COLUMN(),,,"Plan2"))*SUM(Plan2!DS5:DS100)</f>
        <v>0</v>
      </c>
      <c r="DT54" s="18" cm="1">
        <f t="array" aca="1" ref="DT54" ca="1">INDIRECT(ADDRESS(4,COLUMN(),,,"Plan2"))*SUM(Plan2!DT5:DT100)</f>
        <v>0</v>
      </c>
      <c r="DU54" s="18" cm="1">
        <f t="array" aca="1" ref="DU54" ca="1">INDIRECT(ADDRESS(4,COLUMN(),,,"Plan2"))*SUM(Plan2!DU5:DU100)</f>
        <v>0</v>
      </c>
      <c r="DV54" s="18" cm="1">
        <f t="array" aca="1" ref="DV54" ca="1">INDIRECT(ADDRESS(4,COLUMN(),,,"Plan2"))*SUM(Plan2!DV5:DV100)</f>
        <v>0</v>
      </c>
      <c r="DW54" s="18" cm="1">
        <f t="array" aca="1" ref="DW54" ca="1">INDIRECT(ADDRESS(4,COLUMN(),,,"Plan2"))*SUM(Plan2!DW5:DW100)</f>
        <v>0</v>
      </c>
      <c r="DX54" s="18" cm="1">
        <f t="array" aca="1" ref="DX54" ca="1">INDIRECT(ADDRESS(4,COLUMN(),,,"Plan2"))*SUM(Plan2!DX5:DX100)</f>
        <v>0</v>
      </c>
      <c r="DY54" s="18" cm="1">
        <f t="array" aca="1" ref="DY54" ca="1">INDIRECT(ADDRESS(4,COLUMN(),,,"Plan2"))*SUM(Plan2!DY5:DY100)</f>
        <v>0</v>
      </c>
      <c r="DZ54" s="18" cm="1">
        <f t="array" aca="1" ref="DZ54" ca="1">INDIRECT(ADDRESS(4,COLUMN(),,,"Plan2"))*SUM(Plan2!DZ5:DZ100)</f>
        <v>0</v>
      </c>
      <c r="EA54" s="18" cm="1">
        <f t="array" aca="1" ref="EA54" ca="1">INDIRECT(ADDRESS(4,COLUMN(),,,"Plan2"))*SUM(Plan2!EA5:EA100)</f>
        <v>0</v>
      </c>
      <c r="EB54" s="18" cm="1">
        <f t="array" aca="1" ref="EB54" ca="1">INDIRECT(ADDRESS(4,COLUMN(),,,"Plan2"))*SUM(Plan2!EB5:EB100)</f>
        <v>0</v>
      </c>
      <c r="EC54" s="18" cm="1">
        <f t="array" aca="1" ref="EC54" ca="1">INDIRECT(ADDRESS(4,COLUMN(),,,"Plan2"))*SUM(Plan2!EC5:EC100)</f>
        <v>0</v>
      </c>
      <c r="ED54" s="18" cm="1">
        <f t="array" aca="1" ref="ED54" ca="1">INDIRECT(ADDRESS(4,COLUMN(),,,"Plan2"))*SUM(Plan2!ED5:ED100)</f>
        <v>0</v>
      </c>
      <c r="EE54" s="18" cm="1">
        <f t="array" aca="1" ref="EE54" ca="1">INDIRECT(ADDRESS(4,COLUMN(),,,"Plan2"))*SUM(Plan2!EE5:EE100)</f>
        <v>0</v>
      </c>
      <c r="EF54" s="18" cm="1">
        <f t="array" aca="1" ref="EF54" ca="1">INDIRECT(ADDRESS(4,COLUMN(),,,"Plan2"))*SUM(Plan2!EF5:EF100)</f>
        <v>0</v>
      </c>
      <c r="EG54" s="18" cm="1">
        <f t="array" aca="1" ref="EG54" ca="1">INDIRECT(ADDRESS(4,COLUMN(),,,"Plan2"))*SUM(Plan2!EG5:EG100)</f>
        <v>0</v>
      </c>
      <c r="EH54" s="18" cm="1">
        <f t="array" aca="1" ref="EH54" ca="1">INDIRECT(ADDRESS(4,COLUMN(),,,"Plan2"))*SUM(Plan2!EH5:EH100)</f>
        <v>0</v>
      </c>
      <c r="EI54" s="18" cm="1">
        <f t="array" aca="1" ref="EI54" ca="1">INDIRECT(ADDRESS(4,COLUMN(),,,"Plan2"))*SUM(Plan2!EI5:EI100)</f>
        <v>0</v>
      </c>
      <c r="EJ54" s="18" cm="1">
        <f t="array" aca="1" ref="EJ54" ca="1">INDIRECT(ADDRESS(4,COLUMN(),,,"Plan2"))*SUM(Plan2!EJ5:EJ100)</f>
        <v>0</v>
      </c>
      <c r="EK54" s="18" cm="1">
        <f t="array" aca="1" ref="EK54" ca="1">INDIRECT(ADDRESS(4,COLUMN(),,,"Plan2"))*SUM(Plan2!EK5:EK100)</f>
        <v>0</v>
      </c>
      <c r="EL54" s="18" cm="1">
        <f t="array" aca="1" ref="EL54" ca="1">INDIRECT(ADDRESS(4,COLUMN(),,,"Plan2"))*SUM(Plan2!EL5:EL100)</f>
        <v>0</v>
      </c>
      <c r="EM54" s="18" cm="1">
        <f t="array" aca="1" ref="EM54" ca="1">INDIRECT(ADDRESS(4,COLUMN(),,,"Plan2"))*SUM(Plan2!EM5:EM100)</f>
        <v>0</v>
      </c>
      <c r="EN54" s="18" cm="1">
        <f t="array" aca="1" ref="EN54" ca="1">INDIRECT(ADDRESS(4,COLUMN(),,,"Plan2"))*SUM(Plan2!EN5:EN100)</f>
        <v>0</v>
      </c>
      <c r="EO54" s="18" cm="1">
        <f t="array" aca="1" ref="EO54" ca="1">INDIRECT(ADDRESS(4,COLUMN(),,,"Plan2"))*SUM(Plan2!EO5:EO100)</f>
        <v>0</v>
      </c>
      <c r="EP54" s="18" cm="1">
        <f t="array" aca="1" ref="EP54" ca="1">INDIRECT(ADDRESS(4,COLUMN(),,,"Plan2"))*SUM(Plan2!EP5:EP100)</f>
        <v>0</v>
      </c>
      <c r="EQ54" s="18" cm="1">
        <f t="array" aca="1" ref="EQ54" ca="1">INDIRECT(ADDRESS(4,COLUMN(),,,"Plan2"))*SUM(Plan2!EQ5:EQ100)</f>
        <v>0</v>
      </c>
      <c r="ER54" s="18" cm="1">
        <f t="array" aca="1" ref="ER54" ca="1">INDIRECT(ADDRESS(4,COLUMN(),,,"Plan2"))*SUM(Plan2!ER5:ER100)</f>
        <v>0</v>
      </c>
      <c r="ES54" s="18" cm="1">
        <f t="array" aca="1" ref="ES54" ca="1">INDIRECT(ADDRESS(4,COLUMN(),,,"Plan2"))*SUM(Plan2!ES5:ES100)</f>
        <v>0</v>
      </c>
      <c r="ET54" s="18" cm="1">
        <f t="array" aca="1" ref="ET54" ca="1">INDIRECT(ADDRESS(4,COLUMN(),,,"Plan2"))*SUM(Plan2!ET5:ET100)</f>
        <v>0</v>
      </c>
      <c r="EU54" s="18" cm="1">
        <f t="array" aca="1" ref="EU54" ca="1">INDIRECT(ADDRESS(4,COLUMN(),,,"Plan2"))*SUM(Plan2!EU5:EU100)</f>
        <v>0</v>
      </c>
      <c r="EV54" s="18" cm="1">
        <f t="array" aca="1" ref="EV54" ca="1">INDIRECT(ADDRESS(4,COLUMN(),,,"Plan2"))*SUM(Plan2!EV5:EV100)</f>
        <v>0</v>
      </c>
      <c r="EW54" s="18" cm="1">
        <f t="array" aca="1" ref="EW54" ca="1">INDIRECT(ADDRESS(4,COLUMN(),,,"Plan2"))*SUM(Plan2!EW5:EW100)</f>
        <v>0</v>
      </c>
      <c r="EX54" s="18" cm="1">
        <f t="array" aca="1" ref="EX54" ca="1">INDIRECT(ADDRESS(4,COLUMN(),,,"Plan2"))*SUM(Plan2!EX5:EX100)</f>
        <v>0</v>
      </c>
      <c r="EY54" s="18" cm="1">
        <f t="array" aca="1" ref="EY54" ca="1">INDIRECT(ADDRESS(4,COLUMN(),,,"Plan2"))*SUM(Plan2!EY5:EY100)</f>
        <v>0</v>
      </c>
      <c r="EZ54" s="18" cm="1">
        <f t="array" aca="1" ref="EZ54" ca="1">INDIRECT(ADDRESS(4,COLUMN(),,,"Plan2"))*SUM(Plan2!EZ5:EZ100)</f>
        <v>0</v>
      </c>
      <c r="FA54" s="18" cm="1">
        <f t="array" aca="1" ref="FA54" ca="1">INDIRECT(ADDRESS(4,COLUMN(),,,"Plan2"))*SUM(Plan2!FA5:FA100)</f>
        <v>0</v>
      </c>
      <c r="FB54" s="18" cm="1">
        <f t="array" aca="1" ref="FB54" ca="1">INDIRECT(ADDRESS(4,COLUMN(),,,"Plan2"))*SUM(Plan2!FB5:FB100)</f>
        <v>0</v>
      </c>
      <c r="FC54" s="18" cm="1">
        <f t="array" aca="1" ref="FC54" ca="1">INDIRECT(ADDRESS(4,COLUMN(),,,"Plan2"))*SUM(Plan2!FC5:FC100)</f>
        <v>0</v>
      </c>
      <c r="FD54" s="18" cm="1">
        <f t="array" aca="1" ref="FD54" ca="1">INDIRECT(ADDRESS(4,COLUMN(),,,"Plan2"))*SUM(Plan2!FD5:FD100)</f>
        <v>0</v>
      </c>
      <c r="FE54" s="18" cm="1">
        <f t="array" aca="1" ref="FE54" ca="1">INDIRECT(ADDRESS(4,COLUMN(),,,"Plan2"))*SUM(Plan2!FE5:FE100)</f>
        <v>0</v>
      </c>
      <c r="FF54" s="18" cm="1">
        <f t="array" aca="1" ref="FF54" ca="1">INDIRECT(ADDRESS(4,COLUMN(),,,"Plan2"))*SUM(Plan2!FF5:FF100)</f>
        <v>0</v>
      </c>
      <c r="FG54" s="18" cm="1">
        <f t="array" aca="1" ref="FG54" ca="1">INDIRECT(ADDRESS(4,COLUMN(),,,"Plan2"))*SUM(Plan2!FG5:FG100)</f>
        <v>0</v>
      </c>
      <c r="FH54" s="18" cm="1">
        <f t="array" aca="1" ref="FH54" ca="1">INDIRECT(ADDRESS(4,COLUMN(),,,"Plan2"))*SUM(Plan2!FH5:FH100)</f>
        <v>0</v>
      </c>
      <c r="FI54" s="18" cm="1">
        <f t="array" aca="1" ref="FI54" ca="1">INDIRECT(ADDRESS(4,COLUMN(),,,"Plan2"))*SUM(Plan2!FI5:FI100)</f>
        <v>0</v>
      </c>
      <c r="FJ54" s="18" cm="1">
        <f t="array" aca="1" ref="FJ54" ca="1">INDIRECT(ADDRESS(4,COLUMN(),,,"Plan2"))*SUM(Plan2!FJ5:FJ100)</f>
        <v>0</v>
      </c>
      <c r="FK54" s="18" cm="1">
        <f t="array" aca="1" ref="FK54" ca="1">INDIRECT(ADDRESS(4,COLUMN(),,,"Plan2"))*SUM(Plan2!FK5:FK100)</f>
        <v>0</v>
      </c>
      <c r="FL54" s="18" cm="1">
        <f t="array" aca="1" ref="FL54" ca="1">INDIRECT(ADDRESS(4,COLUMN(),,,"Plan2"))*SUM(Plan2!FL5:FL100)</f>
        <v>0</v>
      </c>
      <c r="FM54" s="18" cm="1">
        <f t="array" aca="1" ref="FM54" ca="1">INDIRECT(ADDRESS(4,COLUMN(),,,"Plan2"))*SUM(Plan2!FM5:FM100)</f>
        <v>0</v>
      </c>
      <c r="FN54" s="18" cm="1">
        <f t="array" aca="1" ref="FN54" ca="1">INDIRECT(ADDRESS(4,COLUMN(),,,"Plan2"))*SUM(Plan2!FN5:FN100)</f>
        <v>0</v>
      </c>
      <c r="FO54" s="18" cm="1">
        <f t="array" aca="1" ref="FO54" ca="1">INDIRECT(ADDRESS(4,COLUMN(),,,"Plan2"))*SUM(Plan2!FO5:FO100)</f>
        <v>0</v>
      </c>
      <c r="FP54" s="18" cm="1">
        <f t="array" aca="1" ref="FP54" ca="1">INDIRECT(ADDRESS(4,COLUMN(),,,"Plan2"))*SUM(Plan2!FP5:FP100)</f>
        <v>0</v>
      </c>
      <c r="FQ54" s="23"/>
      <c r="FR54" s="23"/>
      <c r="FS54" s="23"/>
      <c r="FT54" s="23"/>
      <c r="FU54" s="23"/>
      <c r="FV54" s="23"/>
      <c r="FW54" s="23"/>
      <c r="FX54" s="23"/>
      <c r="FY54" s="23"/>
      <c r="FZ54" s="23"/>
      <c r="GA54" s="23"/>
      <c r="GB54" s="23"/>
      <c r="GC54" s="23"/>
      <c r="GD54" s="23"/>
      <c r="GE54" s="23"/>
      <c r="GF54" s="23"/>
      <c r="GG54" s="23"/>
      <c r="GH54" s="23"/>
      <c r="GI54" s="23"/>
      <c r="GJ54" s="23"/>
      <c r="GK54" s="23"/>
      <c r="GL54" s="23"/>
      <c r="GM54" s="23"/>
      <c r="GN54" s="23"/>
      <c r="GO54" s="23"/>
      <c r="GP54" s="23"/>
      <c r="GQ54" s="23"/>
      <c r="GR54" s="23"/>
      <c r="GS54" s="23"/>
      <c r="GT54" s="23"/>
      <c r="GU54" s="23"/>
      <c r="GV54" s="23"/>
      <c r="GW54" s="23"/>
      <c r="GX54" s="23"/>
      <c r="GY54" s="23"/>
      <c r="GZ54" s="23"/>
      <c r="HA54" s="23"/>
      <c r="HB54" s="23"/>
      <c r="HC54" s="23"/>
      <c r="HD54" s="23"/>
      <c r="HE54" s="23"/>
      <c r="HF54" s="23"/>
      <c r="HG54" s="23"/>
      <c r="HH54" s="23"/>
      <c r="HI54" s="23"/>
      <c r="HJ54" s="23"/>
      <c r="HK54" s="23"/>
      <c r="HL54" s="23"/>
      <c r="HM54" s="23"/>
      <c r="HN54" s="23"/>
      <c r="HO54" s="23"/>
      <c r="HP54" s="23"/>
      <c r="HQ54" s="23"/>
      <c r="HR54" s="23"/>
      <c r="HS54" s="23"/>
      <c r="HT54" s="23"/>
      <c r="HU54" s="23"/>
      <c r="HV54" s="23"/>
      <c r="HW54" s="23"/>
      <c r="HX54" s="23"/>
      <c r="HY54" s="23"/>
      <c r="HZ54" s="23"/>
      <c r="IA54" s="23"/>
      <c r="IB54" s="23"/>
      <c r="IC54" s="23"/>
      <c r="ID54" s="23"/>
      <c r="IE54" s="23"/>
      <c r="IF54" s="23"/>
      <c r="IG54" s="23"/>
      <c r="IH54" s="23"/>
      <c r="II54" s="23"/>
      <c r="IJ54" s="23"/>
      <c r="IK54" s="23"/>
      <c r="IL54" s="23"/>
      <c r="IM54" s="23"/>
      <c r="IN54" s="23"/>
      <c r="IO54" s="23"/>
      <c r="IP54" s="23"/>
      <c r="IQ54" s="23"/>
      <c r="IR54" s="23"/>
      <c r="IS54" s="23"/>
      <c r="IT54" s="23"/>
      <c r="IU54" s="23"/>
      <c r="IV54" s="23"/>
      <c r="IW54" s="23"/>
      <c r="IX54" s="23"/>
      <c r="IY54" s="23"/>
      <c r="IZ54" s="23"/>
      <c r="JA54" s="23"/>
      <c r="JB54" s="23"/>
      <c r="JC54" s="23"/>
      <c r="JD54" s="23"/>
      <c r="JE54" s="23"/>
      <c r="JF54" s="23"/>
      <c r="JG54" s="23"/>
      <c r="JH54" s="23"/>
      <c r="JI54" s="23"/>
      <c r="JJ54" s="23"/>
      <c r="JK54" s="23"/>
      <c r="JL54" s="23"/>
      <c r="JM54" s="23"/>
      <c r="JN54" s="23"/>
      <c r="JO54" s="23"/>
      <c r="JP54" s="23"/>
      <c r="JQ54" s="23"/>
      <c r="JR54" s="23"/>
      <c r="JS54" s="23"/>
      <c r="JT54" s="23"/>
      <c r="JU54" s="23"/>
      <c r="JV54" s="23"/>
      <c r="JW54" s="23"/>
      <c r="JX54" s="23"/>
      <c r="JY54" s="23"/>
      <c r="JZ54" s="23"/>
      <c r="KA54" s="23"/>
      <c r="KB54" s="23"/>
      <c r="KC54" s="23"/>
      <c r="KD54" s="23"/>
      <c r="KE54" s="23"/>
      <c r="KF54" s="23"/>
      <c r="KG54" s="23"/>
      <c r="KH54" s="23"/>
      <c r="KI54" s="23"/>
      <c r="KJ54" s="23"/>
      <c r="KK54" s="23"/>
      <c r="KL54" s="23"/>
      <c r="KM54" s="23"/>
      <c r="KN54" s="23"/>
      <c r="KO54" s="23"/>
      <c r="KP54" s="23"/>
      <c r="KQ54" s="23"/>
      <c r="KR54" s="23"/>
      <c r="KS54" s="23"/>
      <c r="KT54" s="23"/>
      <c r="KU54" s="23"/>
      <c r="KV54" s="23"/>
      <c r="KW54" s="23"/>
      <c r="KX54" s="23"/>
      <c r="KY54" s="23"/>
      <c r="KZ54" s="23"/>
      <c r="LA54" s="23"/>
      <c r="LB54" s="23"/>
      <c r="LC54" s="23"/>
      <c r="LD54" s="23"/>
      <c r="LE54" s="23"/>
      <c r="LF54" s="23"/>
      <c r="LG54" s="23"/>
      <c r="LH54" s="23"/>
      <c r="LI54" s="23"/>
      <c r="LJ54" s="23"/>
      <c r="LK54" s="23"/>
      <c r="LL54" s="23"/>
      <c r="LM54" s="23"/>
    </row>
    <row r="55" spans="1:325" s="18" customFormat="1" ht="15.75" thickBot="1" x14ac:dyDescent="0.3">
      <c r="A55" s="53" t="s">
        <v>1</v>
      </c>
      <c r="B55" s="34"/>
      <c r="C55" s="18">
        <f t="shared" ref="C55:H55" ca="1" si="12">SUM(C54-C53)</f>
        <v>-2850</v>
      </c>
      <c r="D55" s="18">
        <f t="shared" ca="1" si="12"/>
        <v>1500</v>
      </c>
      <c r="E55" s="18">
        <f t="shared" ca="1" si="12"/>
        <v>-11640</v>
      </c>
      <c r="F55" s="18">
        <f t="shared" ca="1" si="12"/>
        <v>-69798</v>
      </c>
      <c r="G55" s="18">
        <f t="shared" ca="1" si="12"/>
        <v>-32394</v>
      </c>
      <c r="H55" s="18">
        <f t="shared" ca="1" si="12"/>
        <v>-87912</v>
      </c>
      <c r="I55" s="18">
        <f t="shared" ref="I55:S55" ca="1" si="13">SUM(I54-I53)</f>
        <v>-262388</v>
      </c>
      <c r="J55" s="18">
        <f t="shared" ca="1" si="13"/>
        <v>-21300</v>
      </c>
      <c r="K55" s="18">
        <f t="shared" ca="1" si="13"/>
        <v>-117322</v>
      </c>
      <c r="L55" s="18">
        <f ca="1">SUM(L54-L53)</f>
        <v>-279604</v>
      </c>
      <c r="M55" s="18">
        <f t="shared" ca="1" si="13"/>
        <v>-104804</v>
      </c>
      <c r="N55" s="18">
        <f t="shared" ca="1" si="13"/>
        <v>-178000</v>
      </c>
      <c r="O55" s="18">
        <f ca="1">SUM(O54-O53)</f>
        <v>-129550</v>
      </c>
      <c r="P55" s="18">
        <f t="shared" ca="1" si="13"/>
        <v>-168314</v>
      </c>
      <c r="Q55" s="18">
        <f ca="1">SUM(Q54-Q53)</f>
        <v>-1630</v>
      </c>
      <c r="R55" s="18">
        <f t="shared" ca="1" si="13"/>
        <v>-335814</v>
      </c>
      <c r="S55" s="18">
        <f t="shared" ca="1" si="13"/>
        <v>-8276</v>
      </c>
      <c r="T55" s="18">
        <f ca="1">SUM(T54-T53)</f>
        <v>-6516</v>
      </c>
      <c r="U55" s="18">
        <f t="shared" ref="U55:CF55" ca="1" si="14">SUM(U54-U53)</f>
        <v>-830</v>
      </c>
      <c r="V55" s="18">
        <f t="shared" ca="1" si="14"/>
        <v>0</v>
      </c>
      <c r="W55" s="18">
        <f t="shared" ca="1" si="14"/>
        <v>-164166</v>
      </c>
      <c r="X55" s="18">
        <f t="shared" ca="1" si="14"/>
        <v>-40056</v>
      </c>
      <c r="Y55" s="18">
        <f t="shared" ca="1" si="14"/>
        <v>-140118</v>
      </c>
      <c r="Z55" s="18">
        <f t="shared" ca="1" si="14"/>
        <v>-245504</v>
      </c>
      <c r="AA55" s="18">
        <f t="shared" ca="1" si="14"/>
        <v>-62400</v>
      </c>
      <c r="AB55" s="18">
        <f t="shared" ca="1" si="14"/>
        <v>-34190</v>
      </c>
      <c r="AC55" s="18">
        <f t="shared" ca="1" si="14"/>
        <v>0</v>
      </c>
      <c r="AD55" s="18">
        <f t="shared" ca="1" si="14"/>
        <v>-2638</v>
      </c>
      <c r="AE55" s="18">
        <f t="shared" ca="1" si="14"/>
        <v>-17638</v>
      </c>
      <c r="AF55" s="18">
        <f t="shared" ca="1" si="14"/>
        <v>-500</v>
      </c>
      <c r="AG55" s="18">
        <f t="shared" ca="1" si="14"/>
        <v>-21330</v>
      </c>
      <c r="AH55" s="18">
        <f t="shared" ca="1" si="14"/>
        <v>-19078</v>
      </c>
      <c r="AI55" s="18">
        <f t="shared" ca="1" si="14"/>
        <v>-3578</v>
      </c>
      <c r="AJ55" s="18">
        <f t="shared" ca="1" si="14"/>
        <v>-42486</v>
      </c>
      <c r="AK55" s="18">
        <f t="shared" ca="1" si="14"/>
        <v>-16876</v>
      </c>
      <c r="AL55" s="18">
        <f t="shared" ca="1" si="14"/>
        <v>-9742</v>
      </c>
      <c r="AM55" s="18">
        <f t="shared" ca="1" si="14"/>
        <v>-7992</v>
      </c>
      <c r="AN55" s="18">
        <f t="shared" ca="1" si="14"/>
        <v>0</v>
      </c>
      <c r="AO55" s="18">
        <f t="shared" ca="1" si="14"/>
        <v>-6500</v>
      </c>
      <c r="AP55" s="18">
        <f t="shared" ca="1" si="14"/>
        <v>-2578</v>
      </c>
      <c r="AQ55" s="18">
        <f t="shared" ca="1" si="14"/>
        <v>-13640</v>
      </c>
      <c r="AR55" s="18">
        <f t="shared" ca="1" si="14"/>
        <v>-30</v>
      </c>
      <c r="AS55" s="18">
        <f t="shared" ca="1" si="14"/>
        <v>-500</v>
      </c>
      <c r="AT55" s="18">
        <f t="shared" ca="1" si="14"/>
        <v>-500</v>
      </c>
      <c r="AU55" s="18">
        <f t="shared" ca="1" si="14"/>
        <v>0</v>
      </c>
      <c r="AV55" s="18">
        <f t="shared" ca="1" si="14"/>
        <v>0</v>
      </c>
      <c r="AW55" s="18">
        <f t="shared" ca="1" si="14"/>
        <v>-26376</v>
      </c>
      <c r="AX55" s="18">
        <f t="shared" ca="1" si="14"/>
        <v>-1030</v>
      </c>
      <c r="AY55" s="18">
        <f t="shared" ca="1" si="14"/>
        <v>-1590</v>
      </c>
      <c r="AZ55" s="18">
        <f t="shared" ca="1" si="14"/>
        <v>-15000</v>
      </c>
      <c r="BA55" s="18">
        <f t="shared" ca="1" si="14"/>
        <v>-1040</v>
      </c>
      <c r="BB55" s="18">
        <f t="shared" ca="1" si="14"/>
        <v>0</v>
      </c>
      <c r="BC55" s="18">
        <f t="shared" ca="1" si="14"/>
        <v>-500</v>
      </c>
      <c r="BD55" s="18">
        <f t="shared" ca="1" si="14"/>
        <v>-1880</v>
      </c>
      <c r="BE55" s="18">
        <f t="shared" ca="1" si="14"/>
        <v>0</v>
      </c>
      <c r="BF55" s="18">
        <f t="shared" ca="1" si="14"/>
        <v>-11773</v>
      </c>
      <c r="BG55" s="18">
        <f t="shared" ca="1" si="14"/>
        <v>-9077</v>
      </c>
      <c r="BH55" s="18">
        <f t="shared" ca="1" si="14"/>
        <v>0</v>
      </c>
      <c r="BI55" s="18">
        <f t="shared" ca="1" si="14"/>
        <v>0</v>
      </c>
      <c r="BJ55" s="18">
        <f t="shared" ca="1" si="14"/>
        <v>0</v>
      </c>
      <c r="BK55" s="18">
        <f t="shared" ca="1" si="14"/>
        <v>-30</v>
      </c>
      <c r="BL55" s="18">
        <f t="shared" ca="1" si="14"/>
        <v>0</v>
      </c>
      <c r="BM55" s="18">
        <f t="shared" ca="1" si="14"/>
        <v>0</v>
      </c>
      <c r="BN55" s="18">
        <f t="shared" ca="1" si="14"/>
        <v>0</v>
      </c>
      <c r="BO55" s="18">
        <f t="shared" ca="1" si="14"/>
        <v>-24310</v>
      </c>
      <c r="BP55" s="18">
        <f t="shared" ca="1" si="14"/>
        <v>0</v>
      </c>
      <c r="BQ55" s="18">
        <f t="shared" ca="1" si="14"/>
        <v>-6400</v>
      </c>
      <c r="BR55" s="18">
        <f t="shared" ca="1" si="14"/>
        <v>-18958</v>
      </c>
      <c r="BS55" s="18">
        <f t="shared" ca="1" si="14"/>
        <v>-500</v>
      </c>
      <c r="BT55" s="18">
        <f t="shared" ca="1" si="14"/>
        <v>-4000</v>
      </c>
      <c r="BU55" s="18">
        <f t="shared" ca="1" si="14"/>
        <v>-1000</v>
      </c>
      <c r="BV55" s="18">
        <f t="shared" ca="1" si="14"/>
        <v>-6400</v>
      </c>
      <c r="BW55" s="18">
        <f t="shared" ca="1" si="14"/>
        <v>0</v>
      </c>
      <c r="BX55" s="18">
        <f t="shared" ca="1" si="14"/>
        <v>0</v>
      </c>
      <c r="BY55" s="18">
        <f t="shared" ca="1" si="14"/>
        <v>-1300</v>
      </c>
      <c r="BZ55" s="18">
        <f t="shared" ca="1" si="14"/>
        <v>-15270</v>
      </c>
      <c r="CA55" s="18">
        <f t="shared" ca="1" si="14"/>
        <v>-44010</v>
      </c>
      <c r="CB55" s="18">
        <f t="shared" ca="1" si="14"/>
        <v>0</v>
      </c>
      <c r="CC55" s="18">
        <f t="shared" ca="1" si="14"/>
        <v>0</v>
      </c>
      <c r="CD55" s="18">
        <f t="shared" ca="1" si="14"/>
        <v>-14970</v>
      </c>
      <c r="CE55" s="18">
        <f t="shared" ca="1" si="14"/>
        <v>-2498</v>
      </c>
      <c r="CF55" s="18">
        <f t="shared" ca="1" si="14"/>
        <v>-2198</v>
      </c>
      <c r="CG55" s="18">
        <f t="shared" ref="CG55:ER55" ca="1" si="15">SUM(CG54-CG53)</f>
        <v>-500</v>
      </c>
      <c r="CH55" s="18">
        <f t="shared" ca="1" si="15"/>
        <v>-12010</v>
      </c>
      <c r="CI55" s="18">
        <f t="shared" ca="1" si="15"/>
        <v>0</v>
      </c>
      <c r="CJ55" s="18">
        <f t="shared" ca="1" si="15"/>
        <v>-30</v>
      </c>
      <c r="CK55" s="18">
        <f t="shared" ca="1" si="15"/>
        <v>0</v>
      </c>
      <c r="CL55" s="18">
        <f t="shared" ca="1" si="15"/>
        <v>-13860</v>
      </c>
      <c r="CM55" s="18">
        <f t="shared" ca="1" si="15"/>
        <v>0</v>
      </c>
      <c r="CN55" s="18">
        <f t="shared" ca="1" si="15"/>
        <v>-600</v>
      </c>
      <c r="CO55" s="18">
        <f t="shared" ca="1" si="15"/>
        <v>0</v>
      </c>
      <c r="CP55" s="18">
        <f t="shared" ca="1" si="15"/>
        <v>0</v>
      </c>
      <c r="CQ55" s="18">
        <f t="shared" ca="1" si="15"/>
        <v>0</v>
      </c>
      <c r="CR55" s="18">
        <f t="shared" ca="1" si="15"/>
        <v>-50</v>
      </c>
      <c r="CS55" s="18">
        <f t="shared" ca="1" si="15"/>
        <v>0</v>
      </c>
      <c r="CT55" s="18">
        <f t="shared" ca="1" si="15"/>
        <v>0</v>
      </c>
      <c r="CU55" s="18">
        <f t="shared" ca="1" si="15"/>
        <v>0</v>
      </c>
      <c r="CV55" s="18">
        <f t="shared" ca="1" si="15"/>
        <v>0</v>
      </c>
      <c r="CW55" s="18">
        <f t="shared" ca="1" si="15"/>
        <v>0</v>
      </c>
      <c r="CX55" s="18">
        <f t="shared" ca="1" si="15"/>
        <v>0</v>
      </c>
      <c r="CY55" s="18">
        <f t="shared" ca="1" si="15"/>
        <v>0</v>
      </c>
      <c r="CZ55" s="18">
        <f t="shared" ca="1" si="15"/>
        <v>0</v>
      </c>
      <c r="DA55" s="18">
        <f t="shared" ca="1" si="15"/>
        <v>-500</v>
      </c>
      <c r="DB55" s="18">
        <f t="shared" ca="1" si="15"/>
        <v>0</v>
      </c>
      <c r="DC55" s="18">
        <f t="shared" ca="1" si="15"/>
        <v>-500</v>
      </c>
      <c r="DD55" s="18">
        <f t="shared" ca="1" si="15"/>
        <v>0</v>
      </c>
      <c r="DE55" s="18">
        <f t="shared" ca="1" si="15"/>
        <v>0</v>
      </c>
      <c r="DF55" s="18">
        <f t="shared" ca="1" si="15"/>
        <v>-9000</v>
      </c>
      <c r="DG55" s="18">
        <f t="shared" ca="1" si="15"/>
        <v>-30</v>
      </c>
      <c r="DH55" s="18">
        <f t="shared" ca="1" si="15"/>
        <v>-2110</v>
      </c>
      <c r="DI55" s="18">
        <f t="shared" ca="1" si="15"/>
        <v>0</v>
      </c>
      <c r="DJ55" s="18">
        <f t="shared" ca="1" si="15"/>
        <v>0</v>
      </c>
      <c r="DK55" s="18">
        <f t="shared" ca="1" si="15"/>
        <v>0</v>
      </c>
      <c r="DL55" s="18">
        <f t="shared" ca="1" si="15"/>
        <v>-400</v>
      </c>
      <c r="DM55" s="18">
        <f t="shared" ca="1" si="15"/>
        <v>0</v>
      </c>
      <c r="DN55" s="18">
        <f t="shared" ca="1" si="15"/>
        <v>-330</v>
      </c>
      <c r="DO55" s="18">
        <f t="shared" ca="1" si="15"/>
        <v>0</v>
      </c>
      <c r="DP55" s="18">
        <f t="shared" ca="1" si="15"/>
        <v>0</v>
      </c>
      <c r="DQ55" s="18">
        <f t="shared" ca="1" si="15"/>
        <v>0</v>
      </c>
      <c r="DR55" s="18">
        <f t="shared" ca="1" si="15"/>
        <v>-30300</v>
      </c>
      <c r="DS55" s="18">
        <f t="shared" ca="1" si="15"/>
        <v>-30300</v>
      </c>
      <c r="DT55" s="18">
        <f t="shared" ca="1" si="15"/>
        <v>-3960</v>
      </c>
      <c r="DU55" s="18">
        <f t="shared" ca="1" si="15"/>
        <v>-50</v>
      </c>
      <c r="DV55" s="18">
        <f t="shared" ca="1" si="15"/>
        <v>0</v>
      </c>
      <c r="DW55" s="18">
        <f t="shared" ca="1" si="15"/>
        <v>0</v>
      </c>
      <c r="DX55" s="18">
        <f t="shared" ca="1" si="15"/>
        <v>-11850</v>
      </c>
      <c r="DY55" s="18">
        <f t="shared" ca="1" si="15"/>
        <v>0</v>
      </c>
      <c r="DZ55" s="18">
        <f t="shared" ca="1" si="15"/>
        <v>-20000</v>
      </c>
      <c r="EA55" s="18">
        <f t="shared" ca="1" si="15"/>
        <v>0</v>
      </c>
      <c r="EB55" s="18">
        <f t="shared" ca="1" si="15"/>
        <v>0</v>
      </c>
      <c r="EC55" s="18">
        <f t="shared" ca="1" si="15"/>
        <v>0</v>
      </c>
      <c r="ED55" s="18">
        <f t="shared" ca="1" si="15"/>
        <v>0</v>
      </c>
      <c r="EE55" s="18">
        <f t="shared" ca="1" si="15"/>
        <v>0</v>
      </c>
      <c r="EF55" s="18">
        <f t="shared" ca="1" si="15"/>
        <v>0</v>
      </c>
      <c r="EG55" s="18">
        <f t="shared" ca="1" si="15"/>
        <v>0</v>
      </c>
      <c r="EH55" s="18">
        <f t="shared" ca="1" si="15"/>
        <v>0</v>
      </c>
      <c r="EI55" s="18">
        <f t="shared" ca="1" si="15"/>
        <v>0</v>
      </c>
      <c r="EJ55" s="18">
        <f t="shared" ca="1" si="15"/>
        <v>0</v>
      </c>
      <c r="EK55" s="18">
        <f t="shared" ca="1" si="15"/>
        <v>-50</v>
      </c>
      <c r="EL55" s="18">
        <f t="shared" ca="1" si="15"/>
        <v>0</v>
      </c>
      <c r="EM55" s="18">
        <f t="shared" ca="1" si="15"/>
        <v>0</v>
      </c>
      <c r="EN55" s="18">
        <f t="shared" ca="1" si="15"/>
        <v>0</v>
      </c>
      <c r="EO55" s="18">
        <f t="shared" ca="1" si="15"/>
        <v>0</v>
      </c>
      <c r="EP55" s="18">
        <f t="shared" ca="1" si="15"/>
        <v>0</v>
      </c>
      <c r="EQ55" s="18">
        <f t="shared" ca="1" si="15"/>
        <v>0</v>
      </c>
      <c r="ER55" s="18">
        <f t="shared" ca="1" si="15"/>
        <v>0</v>
      </c>
      <c r="ES55" s="18">
        <f t="shared" ref="ES55:ET55" ca="1" si="16">SUM(ES54-ES53)</f>
        <v>0</v>
      </c>
      <c r="ET55" s="18">
        <f t="shared" ca="1" si="16"/>
        <v>-50</v>
      </c>
      <c r="EU55" s="8"/>
      <c r="FP55" s="43"/>
      <c r="FQ55" s="23"/>
      <c r="FR55" s="23"/>
      <c r="FS55" s="23"/>
      <c r="FT55" s="23"/>
      <c r="FU55" s="23"/>
      <c r="FV55" s="23"/>
      <c r="FW55" s="23"/>
      <c r="FX55" s="23"/>
      <c r="FY55" s="23"/>
      <c r="FZ55" s="23"/>
      <c r="GA55" s="23"/>
      <c r="GB55" s="23"/>
      <c r="GC55" s="23"/>
      <c r="GD55" s="23"/>
      <c r="GE55" s="23"/>
      <c r="GF55" s="23"/>
      <c r="GG55" s="23"/>
      <c r="GH55" s="23"/>
      <c r="GI55" s="23"/>
      <c r="GJ55" s="23"/>
      <c r="GK55" s="23"/>
      <c r="GL55" s="23"/>
      <c r="GM55" s="23"/>
      <c r="GN55" s="23"/>
      <c r="GO55" s="23"/>
      <c r="GP55" s="23"/>
      <c r="GQ55" s="23"/>
      <c r="GR55" s="23"/>
      <c r="GS55" s="23"/>
      <c r="GT55" s="23"/>
      <c r="GU55" s="23"/>
      <c r="GV55" s="23"/>
      <c r="GW55" s="23"/>
      <c r="GX55" s="23"/>
      <c r="GY55" s="23"/>
      <c r="GZ55" s="23"/>
      <c r="HA55" s="23"/>
      <c r="HB55" s="23"/>
      <c r="HC55" s="23"/>
      <c r="HD55" s="23"/>
      <c r="HE55" s="23"/>
      <c r="HF55" s="23"/>
      <c r="HG55" s="23"/>
      <c r="HH55" s="23"/>
      <c r="HI55" s="23"/>
      <c r="HJ55" s="23"/>
      <c r="HK55" s="23"/>
      <c r="HL55" s="23"/>
      <c r="HM55" s="23"/>
      <c r="HN55" s="23"/>
      <c r="HO55" s="23"/>
      <c r="HP55" s="23"/>
      <c r="HQ55" s="23"/>
      <c r="HR55" s="23"/>
      <c r="HS55" s="23"/>
      <c r="HT55" s="23"/>
      <c r="HU55" s="23"/>
      <c r="HV55" s="23"/>
      <c r="HW55" s="23"/>
      <c r="HX55" s="23"/>
      <c r="HY55" s="23"/>
      <c r="HZ55" s="23"/>
      <c r="IA55" s="23"/>
      <c r="IB55" s="23"/>
      <c r="IC55" s="23"/>
      <c r="ID55" s="23"/>
      <c r="IE55" s="23"/>
      <c r="IF55" s="23"/>
      <c r="IG55" s="23"/>
      <c r="IH55" s="23"/>
      <c r="II55" s="23"/>
      <c r="IJ55" s="23"/>
      <c r="IK55" s="23"/>
      <c r="IL55" s="23"/>
      <c r="IM55" s="23"/>
      <c r="IN55" s="23"/>
      <c r="IO55" s="23"/>
      <c r="IP55" s="23"/>
      <c r="IQ55" s="23"/>
      <c r="IR55" s="23"/>
      <c r="IS55" s="23"/>
      <c r="IT55" s="23"/>
      <c r="IU55" s="23"/>
      <c r="IV55" s="23"/>
      <c r="IW55" s="23"/>
      <c r="IX55" s="23"/>
      <c r="IY55" s="23"/>
      <c r="IZ55" s="23"/>
      <c r="JA55" s="23"/>
      <c r="JB55" s="23"/>
      <c r="JC55" s="23"/>
      <c r="JD55" s="23"/>
      <c r="JE55" s="23"/>
      <c r="JF55" s="23"/>
      <c r="JG55" s="23"/>
      <c r="JH55" s="23"/>
      <c r="JI55" s="23"/>
      <c r="JJ55" s="23"/>
      <c r="JK55" s="23"/>
      <c r="JL55" s="23"/>
      <c r="JM55" s="23"/>
      <c r="JN55" s="23"/>
      <c r="JO55" s="23"/>
      <c r="JP55" s="23"/>
      <c r="JQ55" s="23"/>
      <c r="JR55" s="23"/>
      <c r="JS55" s="23"/>
      <c r="JT55" s="23"/>
      <c r="JU55" s="23"/>
      <c r="JV55" s="23"/>
      <c r="JW55" s="23"/>
      <c r="JX55" s="23"/>
      <c r="JY55" s="23"/>
      <c r="JZ55" s="23"/>
      <c r="KA55" s="23"/>
      <c r="KB55" s="23"/>
      <c r="KC55" s="23"/>
      <c r="KD55" s="23"/>
      <c r="KE55" s="23"/>
      <c r="KF55" s="23"/>
      <c r="KG55" s="23"/>
      <c r="KH55" s="23"/>
      <c r="KI55" s="23"/>
      <c r="KJ55" s="23"/>
      <c r="KK55" s="23"/>
      <c r="KL55" s="23"/>
      <c r="KM55" s="23"/>
      <c r="KN55" s="23"/>
      <c r="KO55" s="23"/>
      <c r="KP55" s="23"/>
      <c r="KQ55" s="23"/>
      <c r="KR55" s="23"/>
      <c r="KS55" s="23"/>
      <c r="KT55" s="23"/>
      <c r="KU55" s="23"/>
      <c r="KV55" s="23"/>
      <c r="KW55" s="23"/>
      <c r="KX55" s="23"/>
      <c r="KY55" s="23"/>
      <c r="KZ55" s="23"/>
      <c r="LA55" s="23"/>
      <c r="LB55" s="23"/>
      <c r="LC55" s="23"/>
      <c r="LD55" s="23"/>
      <c r="LE55" s="23"/>
      <c r="LF55" s="23"/>
      <c r="LG55" s="23"/>
      <c r="LH55" s="23"/>
      <c r="LI55" s="23"/>
      <c r="LJ55" s="23"/>
      <c r="LK55" s="23"/>
      <c r="LL55" s="23"/>
      <c r="LM55" s="23"/>
    </row>
    <row r="56" spans="1:325" s="18" customFormat="1" ht="15.75" thickBot="1" x14ac:dyDescent="0.3">
      <c r="A56" s="53"/>
      <c r="B56" s="34"/>
      <c r="D56" s="8"/>
      <c r="EU56" s="23"/>
      <c r="EV56" s="23"/>
      <c r="EW56" s="23"/>
      <c r="EX56" s="23"/>
      <c r="EY56" s="23"/>
      <c r="EZ56" s="23"/>
      <c r="FA56" s="23"/>
      <c r="FB56" s="23"/>
      <c r="FC56" s="23"/>
      <c r="FD56" s="23"/>
      <c r="FE56" s="23"/>
      <c r="FF56" s="23"/>
      <c r="FG56" s="23"/>
      <c r="FH56" s="23"/>
      <c r="FI56" s="23"/>
      <c r="FJ56" s="23"/>
      <c r="FK56" s="23"/>
      <c r="FL56" s="23"/>
      <c r="FM56" s="23"/>
      <c r="FN56" s="23"/>
      <c r="FO56" s="23"/>
      <c r="FP56" s="23"/>
      <c r="FQ56" s="23"/>
      <c r="FR56" s="23"/>
      <c r="FS56" s="23"/>
      <c r="FT56" s="23"/>
      <c r="FU56" s="23"/>
      <c r="FV56" s="23"/>
      <c r="FW56" s="23"/>
      <c r="FX56" s="23"/>
      <c r="FY56" s="23"/>
      <c r="FZ56" s="23"/>
      <c r="GA56" s="23"/>
      <c r="GB56" s="23"/>
      <c r="GC56" s="23"/>
      <c r="GD56" s="23"/>
      <c r="GE56" s="23"/>
      <c r="GF56" s="23"/>
      <c r="GG56" s="23"/>
      <c r="GH56" s="23"/>
      <c r="GI56" s="23"/>
      <c r="GJ56" s="23"/>
      <c r="GK56" s="23"/>
      <c r="GL56" s="23"/>
      <c r="GM56" s="23"/>
      <c r="GN56" s="23"/>
      <c r="GO56" s="23"/>
      <c r="GP56" s="23"/>
      <c r="GQ56" s="23"/>
      <c r="GR56" s="23"/>
      <c r="GS56" s="23"/>
      <c r="GT56" s="23"/>
      <c r="GU56" s="23"/>
      <c r="GV56" s="23"/>
      <c r="GW56" s="23"/>
      <c r="GX56" s="23"/>
      <c r="GY56" s="23"/>
      <c r="GZ56" s="23"/>
      <c r="HA56" s="23"/>
      <c r="HB56" s="23"/>
      <c r="HC56" s="23"/>
      <c r="HD56" s="23"/>
      <c r="HE56" s="23"/>
      <c r="HF56" s="23"/>
      <c r="HG56" s="23"/>
      <c r="HH56" s="23"/>
      <c r="HI56" s="23"/>
      <c r="HJ56" s="23"/>
      <c r="HK56" s="23"/>
      <c r="HL56" s="23"/>
      <c r="HM56" s="23"/>
      <c r="HN56" s="23"/>
      <c r="HO56" s="23"/>
      <c r="HP56" s="23"/>
      <c r="HQ56" s="23"/>
      <c r="HR56" s="23"/>
      <c r="HS56" s="23"/>
      <c r="HT56" s="23"/>
      <c r="HU56" s="23"/>
      <c r="HV56" s="23"/>
      <c r="HW56" s="23"/>
      <c r="HX56" s="23"/>
      <c r="HY56" s="23"/>
      <c r="HZ56" s="23"/>
      <c r="IA56" s="23"/>
      <c r="IB56" s="23"/>
      <c r="IC56" s="23"/>
      <c r="ID56" s="23"/>
      <c r="IE56" s="23"/>
      <c r="IF56" s="23"/>
      <c r="IG56" s="23"/>
      <c r="IH56" s="23"/>
      <c r="II56" s="23"/>
      <c r="IJ56" s="23"/>
      <c r="IK56" s="23"/>
      <c r="IL56" s="23"/>
      <c r="IM56" s="23"/>
      <c r="IN56" s="23"/>
      <c r="IO56" s="23"/>
      <c r="IP56" s="23"/>
      <c r="IQ56" s="23"/>
      <c r="IR56" s="23"/>
      <c r="IS56" s="23"/>
      <c r="IT56" s="23"/>
      <c r="IU56" s="23"/>
      <c r="IV56" s="23"/>
      <c r="IW56" s="23"/>
      <c r="IX56" s="23"/>
      <c r="IY56" s="23"/>
      <c r="IZ56" s="23"/>
      <c r="JA56" s="23"/>
      <c r="JB56" s="23"/>
      <c r="JC56" s="23"/>
      <c r="JD56" s="23"/>
      <c r="JE56" s="23"/>
      <c r="JF56" s="23"/>
      <c r="JG56" s="23"/>
      <c r="JH56" s="23"/>
      <c r="JI56" s="23"/>
      <c r="JJ56" s="23"/>
      <c r="JK56" s="23"/>
      <c r="JL56" s="23"/>
      <c r="JM56" s="23"/>
      <c r="JN56" s="23"/>
      <c r="JO56" s="23"/>
      <c r="JP56" s="23"/>
      <c r="JQ56" s="23"/>
      <c r="JR56" s="23"/>
      <c r="JS56" s="23"/>
      <c r="JT56" s="23"/>
      <c r="JU56" s="23"/>
      <c r="JV56" s="23"/>
      <c r="JW56" s="23"/>
      <c r="JX56" s="23"/>
      <c r="JY56" s="23"/>
      <c r="JZ56" s="23"/>
      <c r="KA56" s="23"/>
      <c r="KB56" s="23"/>
      <c r="KC56" s="23"/>
      <c r="KD56" s="23"/>
      <c r="KE56" s="23"/>
      <c r="KF56" s="23"/>
      <c r="KG56" s="23"/>
      <c r="KH56" s="23"/>
      <c r="KI56" s="23"/>
      <c r="KJ56" s="23"/>
      <c r="KK56" s="23"/>
      <c r="KL56" s="23"/>
      <c r="KM56" s="23"/>
      <c r="KN56" s="23"/>
      <c r="KO56" s="23"/>
      <c r="KP56" s="23"/>
      <c r="KQ56" s="23"/>
      <c r="KR56" s="23"/>
      <c r="KS56" s="23"/>
      <c r="KT56" s="23"/>
      <c r="KU56" s="23"/>
      <c r="KV56" s="23"/>
      <c r="KW56" s="23"/>
      <c r="KX56" s="23"/>
      <c r="KY56" s="23"/>
      <c r="KZ56" s="23"/>
      <c r="LA56" s="23"/>
      <c r="LB56" s="23"/>
      <c r="LC56" s="23"/>
      <c r="LD56" s="23"/>
      <c r="LE56" s="23"/>
      <c r="LF56" s="23"/>
      <c r="LG56" s="23"/>
      <c r="LH56" s="23"/>
      <c r="LI56" s="23"/>
      <c r="LJ56" s="23"/>
      <c r="LK56" s="23"/>
      <c r="LL56" s="23"/>
      <c r="LM56" s="23"/>
    </row>
    <row r="57" spans="1:325" s="8" customFormat="1" ht="15.75" thickBot="1" x14ac:dyDescent="0.3">
      <c r="A57" s="54" t="s">
        <v>143</v>
      </c>
      <c r="B57" s="37"/>
      <c r="C57" s="8" t="s">
        <v>6</v>
      </c>
      <c r="D57" s="8" t="s">
        <v>3</v>
      </c>
      <c r="E57" s="8" t="s">
        <v>5</v>
      </c>
      <c r="F57" s="8" t="s">
        <v>4</v>
      </c>
      <c r="G57" s="8" t="s">
        <v>11</v>
      </c>
      <c r="H57" s="8" t="s">
        <v>110</v>
      </c>
      <c r="I57" s="8" t="s">
        <v>109</v>
      </c>
      <c r="J57" s="8" t="s">
        <v>12</v>
      </c>
      <c r="K57" s="8" t="s">
        <v>13</v>
      </c>
      <c r="L57" s="8" t="s">
        <v>2</v>
      </c>
      <c r="M57" s="8" t="s">
        <v>7</v>
      </c>
      <c r="N57" s="8" t="s">
        <v>8</v>
      </c>
      <c r="O57" s="8" t="s">
        <v>9</v>
      </c>
      <c r="P57" s="8" t="s">
        <v>10</v>
      </c>
      <c r="Q57" s="8" t="s">
        <v>14</v>
      </c>
      <c r="R57" s="8" t="s">
        <v>193</v>
      </c>
      <c r="S57" s="8" t="s">
        <v>111</v>
      </c>
      <c r="T57" s="8" t="s">
        <v>112</v>
      </c>
      <c r="U57" s="8" t="s">
        <v>18</v>
      </c>
      <c r="V57" s="8" t="s">
        <v>98</v>
      </c>
      <c r="W57" s="8" t="s">
        <v>19</v>
      </c>
      <c r="X57" s="8" t="s">
        <v>20</v>
      </c>
      <c r="Y57" s="8" t="s">
        <v>21</v>
      </c>
      <c r="Z57" s="8" t="s">
        <v>62</v>
      </c>
      <c r="AA57" s="8" t="s">
        <v>23</v>
      </c>
      <c r="AB57" s="8" t="s">
        <v>24</v>
      </c>
      <c r="AD57" s="8" t="s">
        <v>25</v>
      </c>
      <c r="AE57" s="8" t="s">
        <v>33</v>
      </c>
      <c r="AF57" s="8" t="s">
        <v>113</v>
      </c>
      <c r="AG57" s="8" t="s">
        <v>114</v>
      </c>
      <c r="AH57" s="8" t="s">
        <v>27</v>
      </c>
      <c r="AI57" s="8" t="s">
        <v>115</v>
      </c>
      <c r="AJ57" s="8" t="s">
        <v>29</v>
      </c>
      <c r="AK57" s="8">
        <v>40106</v>
      </c>
      <c r="AL57" s="8" t="s">
        <v>30</v>
      </c>
      <c r="AM57" s="8" t="s">
        <v>31</v>
      </c>
      <c r="AN57" s="8" t="s">
        <v>32</v>
      </c>
      <c r="AO57" s="8" t="s">
        <v>116</v>
      </c>
      <c r="AP57" s="8" t="s">
        <v>117</v>
      </c>
      <c r="AQ57" s="8" t="s">
        <v>155</v>
      </c>
      <c r="AR57" s="8" t="s">
        <v>118</v>
      </c>
      <c r="AS57" s="8" t="s">
        <v>38</v>
      </c>
      <c r="AT57" s="8" t="s">
        <v>40</v>
      </c>
      <c r="AU57" s="8" t="s">
        <v>41</v>
      </c>
      <c r="AV57" s="8" t="s">
        <v>42</v>
      </c>
      <c r="AW57" s="8" t="s">
        <v>119</v>
      </c>
      <c r="AX57" s="8" t="s">
        <v>44</v>
      </c>
      <c r="AY57" s="8" t="s">
        <v>45</v>
      </c>
      <c r="AZ57" s="8" t="s">
        <v>120</v>
      </c>
      <c r="BA57" s="8" t="s">
        <v>121</v>
      </c>
      <c r="BB57" s="8" t="s">
        <v>122</v>
      </c>
      <c r="BC57" s="8" t="s">
        <v>123</v>
      </c>
      <c r="BD57" s="8" t="s">
        <v>102</v>
      </c>
      <c r="BE57" s="8" t="s">
        <v>46</v>
      </c>
      <c r="BF57" s="8" t="s">
        <v>47</v>
      </c>
      <c r="BG57" s="8" t="s">
        <v>1</v>
      </c>
      <c r="BI57" s="8" t="s">
        <v>52</v>
      </c>
      <c r="BJ57" s="8" t="s">
        <v>53</v>
      </c>
      <c r="BK57" s="8" t="s">
        <v>124</v>
      </c>
      <c r="BL57" s="8" t="s">
        <v>55</v>
      </c>
      <c r="BM57" s="8" t="s">
        <v>56</v>
      </c>
      <c r="BN57" s="8" t="s">
        <v>64</v>
      </c>
      <c r="BO57" s="8" t="s">
        <v>69</v>
      </c>
      <c r="BP57" s="8" t="s">
        <v>60</v>
      </c>
      <c r="BQ57" s="8" t="s">
        <v>125</v>
      </c>
      <c r="BR57" s="8" t="s">
        <v>70</v>
      </c>
      <c r="BS57" s="8" t="s">
        <v>71</v>
      </c>
      <c r="BT57" s="8" t="s">
        <v>72</v>
      </c>
      <c r="BU57" s="8" t="s">
        <v>73</v>
      </c>
      <c r="BV57" s="8" t="s">
        <v>126</v>
      </c>
      <c r="BW57" s="8" t="s">
        <v>75</v>
      </c>
      <c r="BX57" s="8" t="s">
        <v>76</v>
      </c>
      <c r="BY57" s="8" t="s">
        <v>77</v>
      </c>
      <c r="BZ57" s="8" t="s">
        <v>78</v>
      </c>
      <c r="CA57" s="8" t="s">
        <v>79</v>
      </c>
      <c r="CB57" s="8" t="s">
        <v>14</v>
      </c>
      <c r="CC57" s="8" t="s">
        <v>127</v>
      </c>
      <c r="CD57" s="8" t="s">
        <v>84</v>
      </c>
      <c r="CE57" s="8" t="s">
        <v>37</v>
      </c>
      <c r="CF57" s="8" t="s">
        <v>87</v>
      </c>
      <c r="CG57" s="8" t="s">
        <v>88</v>
      </c>
      <c r="CH57" s="8" t="s">
        <v>89</v>
      </c>
      <c r="CJ57" s="8" t="s">
        <v>137</v>
      </c>
      <c r="CL57" s="8" t="s">
        <v>90</v>
      </c>
      <c r="CM57" s="8" t="s">
        <v>128</v>
      </c>
      <c r="CN57" s="8" t="s">
        <v>92</v>
      </c>
      <c r="CP57" s="8" t="s">
        <v>99</v>
      </c>
      <c r="CR57" s="8" t="s">
        <v>93</v>
      </c>
      <c r="CS57" s="8" t="s">
        <v>94</v>
      </c>
      <c r="CT57" s="8" t="s">
        <v>95</v>
      </c>
      <c r="CW57" s="8" t="s">
        <v>129</v>
      </c>
      <c r="CX57" s="8" t="s">
        <v>100</v>
      </c>
      <c r="CZ57" s="19" t="s">
        <v>101</v>
      </c>
      <c r="DA57" s="19" t="s">
        <v>103</v>
      </c>
      <c r="DB57" s="19"/>
      <c r="DC57" s="19" t="s">
        <v>105</v>
      </c>
      <c r="DD57" s="19"/>
      <c r="DE57" s="19">
        <v>555</v>
      </c>
      <c r="DF57" s="19" t="s">
        <v>106</v>
      </c>
      <c r="DG57" s="19" t="s">
        <v>107</v>
      </c>
      <c r="DH57" s="19" t="s">
        <v>108</v>
      </c>
      <c r="DI57" s="19"/>
      <c r="DJ57" s="19" t="s">
        <v>145</v>
      </c>
      <c r="DK57" s="19" t="s">
        <v>146</v>
      </c>
      <c r="DL57" s="19" t="s">
        <v>147</v>
      </c>
      <c r="DM57" s="19" t="s">
        <v>72</v>
      </c>
      <c r="DN57" s="19" t="s">
        <v>148</v>
      </c>
      <c r="DO57" s="19" t="s">
        <v>149</v>
      </c>
      <c r="DP57" s="19"/>
      <c r="DQ57" s="19" t="s">
        <v>150</v>
      </c>
      <c r="DR57" s="19" t="s">
        <v>151</v>
      </c>
      <c r="DS57" s="19" t="s">
        <v>152</v>
      </c>
      <c r="DT57" s="19" t="s">
        <v>153</v>
      </c>
      <c r="DU57" s="19" t="s">
        <v>154</v>
      </c>
      <c r="DV57" s="19" t="s">
        <v>158</v>
      </c>
      <c r="DX57" s="19" t="s">
        <v>157</v>
      </c>
      <c r="DY57" s="38" t="s">
        <v>160</v>
      </c>
      <c r="DZ57" s="19"/>
      <c r="EA57" s="38" t="s">
        <v>161</v>
      </c>
      <c r="EB57" s="38" t="s">
        <v>162</v>
      </c>
      <c r="EC57" s="19"/>
      <c r="ED57" s="38" t="s">
        <v>170</v>
      </c>
      <c r="EE57" s="38"/>
      <c r="EF57" s="19"/>
      <c r="EG57" s="38" t="s">
        <v>171</v>
      </c>
      <c r="EH57" s="19"/>
      <c r="EI57" s="38" t="s">
        <v>172</v>
      </c>
      <c r="EJ57" s="19"/>
      <c r="EK57" s="19"/>
      <c r="EL57" s="19" t="s">
        <v>174</v>
      </c>
      <c r="EM57" s="19" t="s">
        <v>189</v>
      </c>
      <c r="EN57" s="19"/>
      <c r="EO57" s="19" t="s">
        <v>190</v>
      </c>
      <c r="EP57" s="19" t="s">
        <v>191</v>
      </c>
      <c r="EQ57" s="19" t="s">
        <v>192</v>
      </c>
      <c r="ER57" s="19"/>
      <c r="ES57" s="19" t="s">
        <v>194</v>
      </c>
      <c r="ET57" s="18"/>
      <c r="EU57" s="12" t="s">
        <v>198</v>
      </c>
      <c r="EV57" s="12" t="s">
        <v>199</v>
      </c>
      <c r="EW57" s="12" t="s">
        <v>200</v>
      </c>
      <c r="EX57" s="12" t="s">
        <v>201</v>
      </c>
      <c r="EY57" s="12"/>
      <c r="EZ57" s="12" t="s">
        <v>202</v>
      </c>
      <c r="FA57" s="12"/>
      <c r="FB57" s="12" t="s">
        <v>203</v>
      </c>
      <c r="FC57" s="12" t="s">
        <v>204</v>
      </c>
      <c r="FD57" s="18" t="s">
        <v>206</v>
      </c>
      <c r="FE57" s="18" t="s">
        <v>207</v>
      </c>
      <c r="FF57" s="18" t="s">
        <v>208</v>
      </c>
      <c r="FG57" s="18" t="s">
        <v>209</v>
      </c>
      <c r="FH57" s="18" t="s">
        <v>210</v>
      </c>
      <c r="FI57" s="18"/>
      <c r="FJ57" s="18"/>
      <c r="FK57" s="18"/>
      <c r="FL57" s="18"/>
      <c r="FM57" s="18"/>
      <c r="FN57" s="18"/>
      <c r="FO57" s="18"/>
      <c r="FP57" s="43"/>
      <c r="FQ57" s="23"/>
      <c r="FR57" s="23"/>
      <c r="FS57" s="23"/>
      <c r="FT57" s="23"/>
      <c r="FU57" s="23"/>
      <c r="FV57" s="23"/>
      <c r="FW57" s="23"/>
      <c r="FX57" s="23"/>
      <c r="FY57" s="23"/>
      <c r="FZ57" s="23"/>
      <c r="GA57" s="23"/>
      <c r="GB57" s="23"/>
      <c r="GC57" s="23"/>
      <c r="GD57" s="23"/>
      <c r="GE57" s="23"/>
      <c r="GF57" s="23"/>
      <c r="GG57" s="23"/>
      <c r="GH57" s="23"/>
      <c r="GI57" s="23"/>
      <c r="GJ57" s="23"/>
      <c r="GK57" s="23"/>
      <c r="GL57" s="23"/>
      <c r="GM57" s="23"/>
      <c r="GN57" s="23"/>
      <c r="GO57" s="23"/>
      <c r="GP57" s="23"/>
      <c r="GQ57" s="23"/>
      <c r="GR57" s="23"/>
      <c r="GS57" s="23"/>
      <c r="GT57" s="23"/>
      <c r="GU57" s="23"/>
      <c r="GV57" s="23"/>
      <c r="GW57" s="23"/>
      <c r="GX57" s="23"/>
      <c r="GY57" s="23"/>
      <c r="GZ57" s="23"/>
      <c r="HA57" s="23"/>
      <c r="HB57" s="23"/>
      <c r="HC57" s="23"/>
      <c r="HD57" s="23"/>
      <c r="HE57" s="23"/>
      <c r="HF57" s="23"/>
      <c r="HG57" s="23"/>
      <c r="HH57" s="23"/>
      <c r="HI57" s="23"/>
      <c r="HJ57" s="23"/>
      <c r="HK57" s="23"/>
      <c r="HL57" s="23"/>
      <c r="HM57" s="23"/>
      <c r="HN57" s="23"/>
      <c r="HO57" s="23"/>
      <c r="HP57" s="23"/>
      <c r="HQ57" s="23"/>
      <c r="HR57" s="23"/>
      <c r="HS57" s="23"/>
      <c r="HT57" s="23"/>
      <c r="HU57" s="23"/>
      <c r="HV57" s="23"/>
      <c r="HW57" s="23"/>
      <c r="HX57" s="23"/>
      <c r="HY57" s="23"/>
      <c r="HZ57" s="23"/>
      <c r="IA57" s="23"/>
      <c r="IB57" s="23"/>
      <c r="IC57" s="23"/>
      <c r="ID57" s="23"/>
      <c r="IE57" s="23"/>
      <c r="IF57" s="23"/>
      <c r="IG57" s="23"/>
      <c r="IH57" s="23"/>
      <c r="II57" s="23"/>
      <c r="IJ57" s="23"/>
      <c r="IK57" s="23"/>
      <c r="IL57" s="23"/>
      <c r="IM57" s="23"/>
      <c r="IN57" s="23"/>
      <c r="IO57" s="23"/>
      <c r="IP57" s="23"/>
      <c r="IQ57" s="23"/>
      <c r="IR57" s="23"/>
      <c r="IS57" s="23"/>
      <c r="IT57" s="23"/>
      <c r="IU57" s="23"/>
      <c r="IV57" s="23"/>
      <c r="IW57" s="23"/>
      <c r="IX57" s="23"/>
      <c r="IY57" s="23"/>
      <c r="IZ57" s="23"/>
      <c r="JA57" s="23"/>
      <c r="JB57" s="23"/>
      <c r="JC57" s="23"/>
      <c r="JD57" s="23"/>
      <c r="JE57" s="23"/>
      <c r="JF57" s="23"/>
      <c r="JG57" s="23"/>
      <c r="JH57" s="23"/>
      <c r="JI57" s="23"/>
      <c r="JJ57" s="23"/>
      <c r="JK57" s="23"/>
      <c r="JL57" s="23"/>
      <c r="JM57" s="23"/>
      <c r="JN57" s="23"/>
      <c r="JO57" s="23"/>
      <c r="JP57" s="23"/>
      <c r="JQ57" s="23"/>
      <c r="JR57" s="23"/>
      <c r="JS57" s="23"/>
      <c r="JT57" s="23"/>
      <c r="JU57" s="23"/>
      <c r="JV57" s="23"/>
      <c r="JW57" s="23"/>
      <c r="JX57" s="23"/>
      <c r="JY57" s="23"/>
      <c r="JZ57" s="23"/>
      <c r="KA57" s="23"/>
      <c r="KB57" s="23"/>
      <c r="KC57" s="23"/>
      <c r="KD57" s="23"/>
      <c r="KE57" s="23"/>
      <c r="KF57" s="23"/>
      <c r="KG57" s="23"/>
      <c r="KH57" s="23"/>
      <c r="KI57" s="23"/>
      <c r="KJ57" s="23"/>
      <c r="KK57" s="23"/>
      <c r="KL57" s="23"/>
      <c r="KM57" s="23"/>
      <c r="KN57" s="23"/>
      <c r="KO57" s="23"/>
      <c r="KP57" s="23"/>
      <c r="KQ57" s="23"/>
      <c r="KR57" s="23"/>
      <c r="KS57" s="23"/>
      <c r="KT57" s="23"/>
      <c r="KU57" s="23"/>
      <c r="KV57" s="23"/>
      <c r="KW57" s="23"/>
      <c r="KX57" s="23"/>
      <c r="KY57" s="23"/>
      <c r="KZ57" s="23"/>
      <c r="LA57" s="23"/>
      <c r="LB57" s="23"/>
      <c r="LC57" s="23"/>
      <c r="LD57" s="23"/>
      <c r="LE57" s="23"/>
      <c r="LF57" s="23"/>
      <c r="LG57" s="23"/>
      <c r="LH57" s="23"/>
      <c r="LI57" s="23"/>
      <c r="LJ57" s="23"/>
      <c r="LK57" s="23"/>
      <c r="LL57" s="23"/>
      <c r="LM57" s="23"/>
    </row>
    <row r="58" spans="1:325" x14ac:dyDescent="0.25">
      <c r="A58" s="48"/>
    </row>
    <row r="59" spans="1:325" x14ac:dyDescent="0.25">
      <c r="A59" s="55"/>
    </row>
    <row r="60" spans="1:325" x14ac:dyDescent="0.25">
      <c r="A60" s="55"/>
      <c r="C60" s="64"/>
      <c r="ES60" s="23"/>
    </row>
    <row r="61" spans="1:325" x14ac:dyDescent="0.25">
      <c r="A61" s="55"/>
      <c r="ER61" s="23"/>
      <c r="ES61" s="23"/>
    </row>
    <row r="62" spans="1:325" x14ac:dyDescent="0.25">
      <c r="A62" s="55"/>
      <c r="B62" s="4" t="s">
        <v>37</v>
      </c>
    </row>
    <row r="63" spans="1:325" x14ac:dyDescent="0.25">
      <c r="A63" s="55"/>
      <c r="X63" s="4">
        <v>10000</v>
      </c>
    </row>
    <row r="64" spans="1:325" x14ac:dyDescent="0.25">
      <c r="A64" s="55"/>
    </row>
    <row r="65" spans="1:1" x14ac:dyDescent="0.25">
      <c r="A65" s="55"/>
    </row>
    <row r="66" spans="1:1" x14ac:dyDescent="0.25">
      <c r="A66" s="55"/>
    </row>
    <row r="67" spans="1:1" x14ac:dyDescent="0.25">
      <c r="A67" s="55"/>
    </row>
    <row r="68" spans="1:1" x14ac:dyDescent="0.25">
      <c r="A68" s="55"/>
    </row>
    <row r="69" spans="1:1" x14ac:dyDescent="0.25">
      <c r="A69" s="55"/>
    </row>
    <row r="70" spans="1:1" x14ac:dyDescent="0.25">
      <c r="A70" s="55"/>
    </row>
    <row r="71" spans="1:1" x14ac:dyDescent="0.25">
      <c r="A71" s="55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EP155"/>
  <sheetViews>
    <sheetView tabSelected="1" workbookViewId="0">
      <selection activeCell="G4" sqref="G4"/>
    </sheetView>
  </sheetViews>
  <sheetFormatPr defaultRowHeight="15" x14ac:dyDescent="0.25"/>
  <cols>
    <col min="1" max="1" width="14.7109375" style="42" customWidth="1"/>
    <col min="2" max="2" width="14.7109375" style="60" customWidth="1"/>
    <col min="3" max="146" width="13.5703125" style="39" customWidth="1"/>
  </cols>
  <sheetData>
    <row r="1" spans="1:146" ht="15.75" thickBot="1" x14ac:dyDescent="0.3">
      <c r="A1" s="57"/>
      <c r="B1" s="58"/>
    </row>
    <row r="2" spans="1:146" ht="15.75" thickBot="1" x14ac:dyDescent="0.3">
      <c r="A2" s="59"/>
      <c r="B2" s="41"/>
      <c r="C2" s="40" t="str" cm="1">
        <f t="array" aca="1" ref="C2" ca="1">INDIRECT(ADDRESS(ROW(),COLUMN(),,,"Plan1"))</f>
        <v>0R 0805</v>
      </c>
      <c r="D2" s="40" t="str" cm="1">
        <f t="array" aca="1" ref="D2" ca="1">INDIRECT(ADDRESS(ROW(),COLUMN(),,,"Plan1"))</f>
        <v>1R 0805</v>
      </c>
      <c r="E2" s="40" t="str" cm="1">
        <f t="array" aca="1" ref="E2" ca="1">INDIRECT(ADDRESS(ROW(),COLUMN(),,,"Plan1"))</f>
        <v>10R 0805</v>
      </c>
      <c r="F2" s="40" t="str" cm="1">
        <f t="array" aca="1" ref="F2" ca="1">INDIRECT(ADDRESS(ROW(),COLUMN(),,,"Plan1"))</f>
        <v>47R 0805</v>
      </c>
      <c r="G2" s="40" t="str" cm="1">
        <f t="array" aca="1" ref="G2" ca="1">INDIRECT(ADDRESS(ROW(),COLUMN(),,,"Plan1"))</f>
        <v>120R 0805</v>
      </c>
      <c r="H2" s="40" t="str" cm="1">
        <f t="array" aca="1" ref="H2" ca="1">INDIRECT(ADDRESS(ROW(),COLUMN(),,,"Plan1"))</f>
        <v>1K-1206</v>
      </c>
      <c r="I2" s="40" t="str" cm="1">
        <f t="array" aca="1" ref="I2" ca="1">INDIRECT(ADDRESS(ROW(),COLUMN(),,,"Plan1"))</f>
        <v>330R0805</v>
      </c>
      <c r="J2" s="40" t="str" cm="1">
        <f t="array" aca="1" ref="J2" ca="1">INDIRECT(ADDRESS(ROW(),COLUMN(),,,"Plan1"))</f>
        <v>390R 0805</v>
      </c>
      <c r="K2" s="40" t="str" cm="1">
        <f t="array" aca="1" ref="K2" ca="1">INDIRECT(ADDRESS(ROW(),COLUMN(),,,"Plan1"))</f>
        <v>560R 0805</v>
      </c>
      <c r="L2" s="40" t="str" cm="1">
        <f t="array" aca="1" ref="L2" ca="1">INDIRECT(ADDRESS(ROW(),COLUMN(),,,"Plan1"))</f>
        <v>1K 0805</v>
      </c>
      <c r="M2" s="40" t="str" cm="1">
        <f t="array" aca="1" ref="M2" ca="1">INDIRECT(ADDRESS(ROW(),COLUMN(),,,"Plan1"))</f>
        <v>1K2 2512</v>
      </c>
      <c r="N2" s="40" t="str" cm="1">
        <f t="array" aca="1" ref="N2" ca="1">INDIRECT(ADDRESS(ROW(),COLUMN(),,,"Plan1"))</f>
        <v>2K2 0805</v>
      </c>
      <c r="O2" s="40" t="str" cm="1">
        <f t="array" aca="1" ref="O2" ca="1">INDIRECT(ADDRESS(ROW(),COLUMN(),,,"Plan1"))</f>
        <v>4K7 0805</v>
      </c>
      <c r="P2" s="40" t="str" cm="1">
        <f t="array" aca="1" ref="P2" ca="1">INDIRECT(ADDRESS(ROW(),COLUMN(),,,"Plan1"))</f>
        <v>10K 0805</v>
      </c>
      <c r="Q2" s="40" t="str" cm="1">
        <f t="array" aca="1" ref="Q2" ca="1">INDIRECT(ADDRESS(ROW(),COLUMN(),,,"Plan1"))</f>
        <v>100K 0805</v>
      </c>
      <c r="R2" s="40" t="str" cm="1">
        <f t="array" aca="1" ref="R2" ca="1">INDIRECT(ADDRESS(ROW(),COLUMN(),,,"Plan1"))</f>
        <v>0,1UF0805</v>
      </c>
      <c r="S2" s="40" t="str" cm="1">
        <f t="array" aca="1" ref="S2" ca="1">INDIRECT(ADDRESS(ROW(),COLUMN(),,,"Plan1"))</f>
        <v>33pF 0805</v>
      </c>
      <c r="T2" s="40" t="str" cm="1">
        <f t="array" aca="1" ref="T2" ca="1">INDIRECT(ADDRESS(ROW(),COLUMN(),,,"Plan1"))</f>
        <v>22pF 0805</v>
      </c>
      <c r="U2" s="40" t="str" cm="1">
        <f t="array" aca="1" ref="U2" ca="1">INDIRECT(ADDRESS(ROW(),COLUMN(),,,"Plan1"))</f>
        <v>1NF 0805</v>
      </c>
      <c r="V2" s="40" t="str" cm="1">
        <f t="array" aca="1" ref="V2" ca="1">INDIRECT(ADDRESS(ROW(),COLUMN(),,,"Plan1"))</f>
        <v>10NF 0805</v>
      </c>
      <c r="W2" s="40" t="str" cm="1">
        <f t="array" aca="1" ref="W2" ca="1">INDIRECT(ADDRESS(ROW(),COLUMN(),,,"Plan1"))</f>
        <v>LED 0805</v>
      </c>
      <c r="X2" s="40" t="str" cm="1">
        <f t="array" aca="1" ref="X2" ca="1">INDIRECT(ADDRESS(ROW(),COLUMN(),,,"Plan1"))</f>
        <v>LL4148</v>
      </c>
      <c r="Y2" s="40" t="str" cm="1">
        <f t="array" aca="1" ref="Y2" ca="1">INDIRECT(ADDRESS(ROW(),COLUMN(),,,"Plan1"))</f>
        <v>5V1 0805</v>
      </c>
      <c r="Z2" s="40" t="str" cm="1">
        <f t="array" aca="1" ref="Z2" ca="1">INDIRECT(ADDRESS(ROW(),COLUMN(),,,"Plan1"))</f>
        <v xml:space="preserve">S1M </v>
      </c>
      <c r="AA2" s="40" t="str" cm="1">
        <f t="array" aca="1" ref="AA2" ca="1">INDIRECT(ADDRESS(ROW(),COLUMN(),,,"Plan1"))</f>
        <v>BC807</v>
      </c>
      <c r="AB2" s="40" t="str" cm="1">
        <f t="array" aca="1" ref="AB2" ca="1">INDIRECT(ADDRESS(ROW(),COLUMN(),,,"Plan1"))</f>
        <v>BC817</v>
      </c>
      <c r="AC2" s="40" t="str" cm="1">
        <f t="array" aca="1" ref="AC2" ca="1">INDIRECT(ADDRESS(ROW(),COLUMN(),,,"Plan1"))</f>
        <v>LPC11E12</v>
      </c>
      <c r="AD2" s="40" t="str" cm="1">
        <f t="array" aca="1" ref="AD2" ca="1">INDIRECT(ADDRESS(ROW(),COLUMN(),,,"Plan1"))</f>
        <v>MCP130T</v>
      </c>
      <c r="AE2" s="40" t="str" cm="1">
        <f t="array" aca="1" ref="AE2" ca="1">INDIRECT(ADDRESS(ROW(),COLUMN(),,,"Plan1"))</f>
        <v>11173V3</v>
      </c>
      <c r="AF2" s="40" t="str" cm="1">
        <f t="array" aca="1" ref="AF2" ca="1">INDIRECT(ADDRESS(ROW(),COLUMN(),,,"Plan1"))</f>
        <v>LM 75A</v>
      </c>
      <c r="AG2" s="40" t="str" cm="1">
        <f t="array" aca="1" ref="AG2" ca="1">INDIRECT(ADDRESS(ROW(),COLUMN(),,,"Plan1"))</f>
        <v>LM358</v>
      </c>
      <c r="AH2" s="40" t="str" cm="1">
        <f t="array" aca="1" ref="AH2" ca="1">INDIRECT(ADDRESS(ROW(),COLUMN(),,,"Plan1"))</f>
        <v>LM2576-5</v>
      </c>
      <c r="AI2" s="40" t="str" cm="1">
        <f t="array" aca="1" ref="AI2" ca="1">INDIRECT(ADDRESS(ROW(),COLUMN(),,,"Plan1"))</f>
        <v>24LC32</v>
      </c>
      <c r="AJ2" s="40" t="str" cm="1">
        <f t="array" aca="1" ref="AJ2" ca="1">INDIRECT(ADDRESS(ROW(),COLUMN(),,,"Plan1"))</f>
        <v>ULN2003</v>
      </c>
      <c r="AK2" s="40" cm="1">
        <f t="array" aca="1" ref="AK2" ca="1">INDIRECT(ADDRESS(ROW(),COLUMN(),,,"Plan1"))</f>
        <v>40106</v>
      </c>
      <c r="AL2" s="40" t="str" cm="1">
        <f t="array" aca="1" ref="AL2" ca="1">INDIRECT(ADDRESS(ROW(),COLUMN(),,,"Plan1"))</f>
        <v>74HCT597</v>
      </c>
      <c r="AM2" s="40" t="str" cm="1">
        <f t="array" aca="1" ref="AM2" ca="1">INDIRECT(ADDRESS(ROW(),COLUMN(),,,"Plan1"))</f>
        <v>74AHCT595</v>
      </c>
      <c r="AN2" s="40" t="str" cm="1">
        <f t="array" aca="1" ref="AN2" ca="1">INDIRECT(ADDRESS(ROW(),COLUMN(),,,"Plan1"))</f>
        <v>74HCT244</v>
      </c>
      <c r="AO2" s="40" t="str" cm="1">
        <f t="array" aca="1" ref="AO2" ca="1">INDIRECT(ADDRESS(ROW(),COLUMN(),,,"Plan1"))</f>
        <v>HCPL 354</v>
      </c>
      <c r="AP2" s="40" t="str" cm="1">
        <f t="array" aca="1" ref="AP2" ca="1">INDIRECT(ADDRESS(ROW(),COLUMN(),,,"Plan1"))</f>
        <v>LPC 2368</v>
      </c>
      <c r="AQ2" s="40" t="str" cm="1">
        <f t="array" aca="1" ref="AQ2" ca="1">INDIRECT(ADDRESS(ROW(),COLUMN(),,,"Plan1"))</f>
        <v>FUSREAR M</v>
      </c>
      <c r="AR2" s="40" t="str" cm="1">
        <f t="array" aca="1" ref="AR2" ca="1">INDIRECT(ADDRESS(ROW(),COLUMN(),,,"Plan1"))</f>
        <v>FE1 120Z</v>
      </c>
      <c r="AS2" s="40" t="str" cm="1">
        <f t="array" aca="1" ref="AS2" ca="1">INDIRECT(ADDRESS(ROW(),COLUMN(),,,"Plan1"))</f>
        <v>SDCARD</v>
      </c>
      <c r="AT2" s="40" t="str" cm="1">
        <f t="array" aca="1" ref="AT2" ca="1">INDIRECT(ADDRESS(ROW(),COLUMN(),,,"Plan1"))</f>
        <v>LM1036</v>
      </c>
      <c r="AU2" s="40" t="str" cm="1">
        <f t="array" aca="1" ref="AU2" ca="1">INDIRECT(ADDRESS(ROW(),COLUMN(),,,"Plan1"))</f>
        <v>TLE4976</v>
      </c>
      <c r="AV2" s="40" t="str" cm="1">
        <f t="array" aca="1" ref="AV2" ca="1">INDIRECT(ADDRESS(ROW(),COLUMN(),,,"Plan1"))</f>
        <v>LPC1114</v>
      </c>
      <c r="AW2" s="40" t="str" cm="1">
        <f t="array" aca="1" ref="AW2" ca="1">INDIRECT(ADDRESS(ROW(),COLUMN(),,,"Plan1"))</f>
        <v>SN75176B</v>
      </c>
      <c r="AX2" s="40" t="str" cm="1">
        <f t="array" aca="1" ref="AX2" ca="1">INDIRECT(ADDRESS(ROW(),COLUMN(),,,"Plan1"))</f>
        <v>LPC1768</v>
      </c>
      <c r="AY2" s="40" t="str" cm="1">
        <f t="array" aca="1" ref="AY2" ca="1">INDIRECT(ADDRESS(ROW(),COLUMN(),,,"Plan1"))</f>
        <v>1K2 0805</v>
      </c>
      <c r="AZ2" s="40" t="str" cm="1">
        <f t="array" aca="1" ref="AZ2" ca="1">INDIRECT(ADDRESS(ROW(),COLUMN(),,,"Plan1"))</f>
        <v>150R0805</v>
      </c>
      <c r="BA2" s="40" t="str" cm="1">
        <f t="array" aca="1" ref="BA2" ca="1">INDIRECT(ADDRESS(ROW(),COLUMN(),,,"Plan1"))</f>
        <v>47k0805</v>
      </c>
      <c r="BB2" s="40" t="str" cm="1">
        <f t="array" aca="1" ref="BB2" ca="1">INDIRECT(ADDRESS(ROW(),COLUMN(),,,"Plan1"))</f>
        <v>200k0805</v>
      </c>
      <c r="BC2" s="40" t="str" cm="1">
        <f t="array" aca="1" ref="BC2" ca="1">INDIRECT(ADDRESS(ROW(),COLUMN(),,,"Plan1"))</f>
        <v>2R70805</v>
      </c>
      <c r="BD2" s="40" t="str" cm="1">
        <f t="array" aca="1" ref="BD2" ca="1">INDIRECT(ADDRESS(ROW(),COLUMN(),,,"Plan1"))</f>
        <v>220NF</v>
      </c>
      <c r="BE2" s="40" t="str" cm="1">
        <f t="array" aca="1" ref="BE2" ca="1">INDIRECT(ADDRESS(ROW(),COLUMN(),,,"Plan1"))</f>
        <v>PCIS</v>
      </c>
      <c r="BF2" s="40" t="str" cm="1">
        <f t="array" aca="1" ref="BF2" ca="1">INDIRECT(ADDRESS(ROW(),COLUMN(),,,"Plan1"))</f>
        <v>RECEBIDO</v>
      </c>
      <c r="BG2" s="40" t="str" cm="1">
        <f t="array" aca="1" ref="BG2" ca="1">INDIRECT(ADDRESS(ROW(),COLUMN(),,,"Plan1"))</f>
        <v>FALTA</v>
      </c>
      <c r="BH2" s="40" cm="1">
        <f t="array" aca="1" ref="BH2" ca="1">INDIRECT(ADDRESS(ROW(),COLUMN(),,,"Plan1"))</f>
        <v>0</v>
      </c>
      <c r="BI2" s="40" t="str" cm="1">
        <f t="array" aca="1" ref="BI2" ca="1">INDIRECT(ADDRESS(ROW(),COLUMN(),,,"Plan1"))</f>
        <v>31M3133</v>
      </c>
      <c r="BJ2" s="40" t="str" cm="1">
        <f t="array" aca="1" ref="BJ2" ca="1">INDIRECT(ADDRESS(ROW(),COLUMN(),,,"Plan1"))</f>
        <v>FT232FL</v>
      </c>
      <c r="BK2" s="40" t="str" cm="1">
        <f t="array" aca="1" ref="BK2" ca="1">INDIRECT(ADDRESS(ROW(),COLUMN(),,,"Plan1"))</f>
        <v>220K0805</v>
      </c>
      <c r="BL2" s="40" t="str" cm="1">
        <f t="array" aca="1" ref="BL2" ca="1">INDIRECT(ADDRESS(ROW(),COLUMN(),,,"Plan1"))</f>
        <v>ACS712</v>
      </c>
      <c r="BM2" s="40" t="str" cm="1">
        <f t="array" aca="1" ref="BM2" ca="1">INDIRECT(ADDRESS(ROW(),COLUMN(),,,"Plan1"))</f>
        <v>MOC3020</v>
      </c>
      <c r="BN2" s="40" t="str" cm="1">
        <f t="array" aca="1" ref="BN2" ca="1">INDIRECT(ADDRESS(ROW(),COLUMN(),,,"Plan1"))</f>
        <v>LPC11E37</v>
      </c>
      <c r="BO2" s="40" t="str" cm="1">
        <f t="array" aca="1" ref="BO2" ca="1">INDIRECT(ADDRESS(ROW(),COLUMN(),,,"Plan1"))</f>
        <v>74AHC595</v>
      </c>
      <c r="BP2" s="40" t="str" cm="1">
        <f t="array" aca="1" ref="BP2" ca="1">INDIRECT(ADDRESS(ROW(),COLUMN(),,,"Plan1"))</f>
        <v>B8290</v>
      </c>
      <c r="BQ2" s="40" t="str" cm="1">
        <f t="array" aca="1" ref="BQ2" ca="1">INDIRECT(ADDRESS(ROW(),COLUMN(),,,"Plan1"))</f>
        <v>3k30805</v>
      </c>
      <c r="BR2" s="40" t="str" cm="1">
        <f t="array" aca="1" ref="BR2" ca="1">INDIRECT(ADDRESS(ROW(),COLUMN(),,,"Plan1"))</f>
        <v>SMAJ5.0A</v>
      </c>
      <c r="BS2" s="40" t="str" cm="1">
        <f t="array" aca="1" ref="BS2" ca="1">INDIRECT(ADDRESS(ROW(),COLUMN(),,,"Plan1"))</f>
        <v>TVS3.3V</v>
      </c>
      <c r="BT2" s="40" t="str" cm="1">
        <f t="array" aca="1" ref="BT2" ca="1">INDIRECT(ADDRESS(ROW(),COLUMN(),,,"Plan1"))</f>
        <v>LPC11E12</v>
      </c>
      <c r="BU2" s="40" t="str" cm="1">
        <f t="array" aca="1" ref="BU2" ca="1">INDIRECT(ADDRESS(ROW(),COLUMN(),,,"Plan1"))</f>
        <v>SMP3V3</v>
      </c>
      <c r="BV2" s="40" t="str" cm="1">
        <f t="array" aca="1" ref="BV2" ca="1">INDIRECT(ADDRESS(ROW(),COLUMN(),,,"Plan1"))</f>
        <v>1K5</v>
      </c>
      <c r="BW2" s="40" t="str" cm="1">
        <f t="array" aca="1" ref="BW2" ca="1">INDIRECT(ADDRESS(ROW(),COLUMN(),,,"Plan1"))</f>
        <v>2K2 0603</v>
      </c>
      <c r="BX2" s="40" t="str" cm="1">
        <f t="array" aca="1" ref="BX2" ca="1">INDIRECT(ADDRESS(ROW(),COLUMN(),,,"Plan1"))</f>
        <v>TS912</v>
      </c>
      <c r="BY2" s="40" t="str" cm="1">
        <f t="array" aca="1" ref="BY2" ca="1">INDIRECT(ADDRESS(ROW(),COLUMN(),,,"Plan1"))</f>
        <v>6K8 0805</v>
      </c>
      <c r="BZ2" s="40" t="str" cm="1">
        <f t="array" aca="1" ref="BZ2" ca="1">INDIRECT(ADDRESS(ROW(),COLUMN(),,,"Plan1"))</f>
        <v>SS14</v>
      </c>
      <c r="CA2" s="40" t="str" cm="1">
        <f t="array" aca="1" ref="CA2" ca="1">INDIRECT(ADDRESS(ROW(),COLUMN(),,,"Plan1"))</f>
        <v>SMAJ6.5A</v>
      </c>
      <c r="CB2" s="40" t="str" cm="1">
        <f t="array" aca="1" ref="CB2" ca="1">INDIRECT(ADDRESS(ROW(),COLUMN(),,,"Plan1"))</f>
        <v xml:space="preserve">100K </v>
      </c>
      <c r="CC2" s="40" t="str" cm="1">
        <f t="array" aca="1" ref="CC2" ca="1">INDIRECT(ADDRESS(ROW(),COLUMN(),,,"Plan1"))</f>
        <v>3K9-2512</v>
      </c>
      <c r="CD2" s="40" t="str" cm="1">
        <f t="array" aca="1" ref="CD2" ca="1">INDIRECT(ADDRESS(ROW(),COLUMN(),,,"Plan1"))</f>
        <v>SMAJ33A</v>
      </c>
      <c r="CE2" s="40" t="str" cm="1">
        <f t="array" aca="1" ref="CE2" ca="1">INDIRECT(ADDRESS(ROW(),COLUMN(),,,"Plan1"))</f>
        <v>SOQ. BAT.</v>
      </c>
      <c r="CF2" s="40" t="str" cm="1">
        <f t="array" aca="1" ref="CF2" ca="1">INDIRECT(ADDRESS(ROW(),COLUMN(),,,"Plan1"))</f>
        <v>P6KE33CA</v>
      </c>
      <c r="CG2" s="40" t="str" cm="1">
        <f t="array" aca="1" ref="CG2" ca="1">INDIRECT(ADDRESS(ROW(),COLUMN(),,,"Plan1"))</f>
        <v>S25FL256</v>
      </c>
      <c r="CH2" s="40" t="str" cm="1">
        <f t="array" aca="1" ref="CH2" ca="1">INDIRECT(ADDRESS(ROW(),COLUMN(),,,"Plan1"))</f>
        <v>STM8S005K6T6CTR</v>
      </c>
      <c r="CI2" s="40" cm="1">
        <f t="array" aca="1" ref="CI2" ca="1">INDIRECT(ADDRESS(ROW(),COLUMN(),,,"Plan1"))</f>
        <v>0</v>
      </c>
      <c r="CJ2" s="40" t="str" cm="1">
        <f t="array" aca="1" ref="CJ2" ca="1">INDIRECT(ADDRESS(ROW(),COLUMN(),,,"Plan1"))</f>
        <v>24LC256</v>
      </c>
      <c r="CK2" s="40" cm="1">
        <f t="array" aca="1" ref="CK2" ca="1">INDIRECT(ADDRESS(ROW(),COLUMN(),,,"Plan1"))</f>
        <v>0</v>
      </c>
      <c r="CL2" s="40" t="str" cm="1">
        <f t="array" aca="1" ref="CL2" ca="1">INDIRECT(ADDRESS(ROW(),COLUMN(),,,"Plan1"))</f>
        <v>62R 0805</v>
      </c>
      <c r="CM2" s="40" t="str" cm="1">
        <f t="array" aca="1" ref="CM2" ca="1">INDIRECT(ADDRESS(ROW(),COLUMN(),,,"Plan1"))</f>
        <v>4K7 1206</v>
      </c>
      <c r="CN2" s="40" t="str" cm="1">
        <f t="array" aca="1" ref="CN2" ca="1">INDIRECT(ADDRESS(ROW(),COLUMN(),,,"Plan1"))</f>
        <v>STM8S005C6</v>
      </c>
      <c r="CO2" s="40" cm="1">
        <f t="array" aca="1" ref="CO2" ca="1">INDIRECT(ADDRESS(ROW(),COLUMN(),,,"Plan1"))</f>
        <v>0</v>
      </c>
      <c r="CP2" s="40" t="str" cm="1">
        <f t="array" aca="1" ref="CP2" ca="1">INDIRECT(ADDRESS(ROW(),COLUMN(),,,"Plan1"))</f>
        <v>STM32F072RBT6</v>
      </c>
      <c r="CQ2" s="40" cm="1">
        <f t="array" aca="1" ref="CQ2" ca="1">INDIRECT(ADDRESS(ROW(),COLUMN(),,,"Plan1"))</f>
        <v>0</v>
      </c>
      <c r="CR2" s="40" t="str" cm="1">
        <f t="array" aca="1" ref="CR2" ca="1">INDIRECT(ADDRESS(ROW(),COLUMN(),,,"Plan1"))</f>
        <v>1M5 0805</v>
      </c>
      <c r="CS2" s="40" t="str" cm="1">
        <f t="array" aca="1" ref="CS2" ca="1">INDIRECT(ADDRESS(ROW(),COLUMN(),,,"Plan1"))</f>
        <v>27R 0805</v>
      </c>
      <c r="CT2" s="40" t="str" cm="1">
        <f t="array" aca="1" ref="CT2" ca="1">INDIRECT(ADDRESS(ROW(),COLUMN(),,,"Plan1"))</f>
        <v>MX25L6433FM21-08G</v>
      </c>
      <c r="CU2" s="40" cm="1">
        <f t="array" aca="1" ref="CU2" ca="1">INDIRECT(ADDRESS(ROW(),COLUMN(),,,"Plan1"))</f>
        <v>0</v>
      </c>
      <c r="CV2" s="40" cm="1">
        <f t="array" aca="1" ref="CV2" ca="1">INDIRECT(ADDRESS(ROW(),COLUMN(),,,"Plan1"))</f>
        <v>0</v>
      </c>
      <c r="CW2" s="40" t="str" cm="1">
        <f t="array" aca="1" ref="CW2" ca="1">INDIRECT(ADDRESS(ROW(),COLUMN(),,,"Plan1"))</f>
        <v>SPWFO1S</v>
      </c>
      <c r="CX2" s="40" t="str" cm="1">
        <f t="array" aca="1" ref="CX2" ca="1">INDIRECT(ADDRESS(ROW(),COLUMN(),,,"Plan1"))</f>
        <v>LM2576-12V</v>
      </c>
      <c r="CY2" s="40" cm="1">
        <f t="array" aca="1" ref="CY2" ca="1">INDIRECT(ADDRESS(ROW(),COLUMN(),,,"Plan1"))</f>
        <v>0</v>
      </c>
      <c r="CZ2" s="40" t="str" cm="1">
        <f t="array" aca="1" ref="CZ2" ca="1">INDIRECT(ADDRESS(ROW(),COLUMN(),,,"Plan1"))</f>
        <v>SMAJ12A</v>
      </c>
      <c r="DA2" s="40" t="str" cm="1">
        <f t="array" aca="1" ref="DA2" ca="1">INDIRECT(ADDRESS(ROW(),COLUMN(),,,"Plan1"))</f>
        <v>STM32F030C8</v>
      </c>
      <c r="DB2" s="40" cm="1">
        <f t="array" aca="1" ref="DB2" ca="1">INDIRECT(ADDRESS(ROW(),COLUMN(),,,"Plan1"))</f>
        <v>0</v>
      </c>
      <c r="DC2" s="40" t="str" cm="1">
        <f t="array" aca="1" ref="DC2" ca="1">INDIRECT(ADDRESS(ROW(),COLUMN(),,,"Plan1"))</f>
        <v>STM32F091VCT6</v>
      </c>
      <c r="DD2" s="40" cm="1">
        <f t="array" aca="1" ref="DD2" ca="1">INDIRECT(ADDRESS(ROW(),COLUMN(),,,"Plan1"))</f>
        <v>0</v>
      </c>
      <c r="DE2" s="40" cm="1">
        <f t="array" aca="1" ref="DE2" ca="1">INDIRECT(ADDRESS(ROW(),COLUMN(),,,"Plan1"))</f>
        <v>555</v>
      </c>
      <c r="DF2" s="40" t="str" cm="1">
        <f t="array" aca="1" ref="DF2" ca="1">INDIRECT(ADDRESS(ROW(),COLUMN(),,,"Plan1"))</f>
        <v>5K6 1206</v>
      </c>
      <c r="DG2" s="40" t="str" cm="1">
        <f t="array" aca="1" ref="DG2" ca="1">INDIRECT(ADDRESS(ROW(),COLUMN(),,,"Plan1"))</f>
        <v>22K 0805</v>
      </c>
      <c r="DH2" s="40" t="str" cm="1">
        <f t="array" aca="1" ref="DH2" ca="1">INDIRECT(ADDRESS(ROW(),COLUMN(),,,"Plan1"))</f>
        <v>STM8S003K3T6CTR</v>
      </c>
      <c r="DI2" s="40" cm="1">
        <f t="array" aca="1" ref="DI2" ca="1">INDIRECT(ADDRESS(ROW(),COLUMN(),,,"Plan1"))</f>
        <v>0</v>
      </c>
      <c r="DJ2" s="40" t="str" cm="1">
        <f t="array" aca="1" ref="DJ2" ca="1">INDIRECT(ADDRESS(ROW(),COLUMN(),,,"Plan1"))</f>
        <v>3K9-2512</v>
      </c>
      <c r="DK2" s="40" t="str" cm="1">
        <f t="array" aca="1" ref="DK2" ca="1">INDIRECT(ADDRESS(ROW(),COLUMN(),,,"Plan1"))</f>
        <v>24LC256</v>
      </c>
      <c r="DL2" s="40" t="str" cm="1">
        <f t="array" aca="1" ref="DL2" ca="1">INDIRECT(ADDRESS(ROW(),COLUMN(),,,"Plan1"))</f>
        <v>560R-1210</v>
      </c>
      <c r="DM2" s="40" t="str" cm="1">
        <f t="array" aca="1" ref="DM2" ca="1">INDIRECT(ADDRESS(ROW(),COLUMN(),,,"Plan1"))</f>
        <v>LPC11E12</v>
      </c>
      <c r="DN2" s="40" t="str" cm="1">
        <f t="array" aca="1" ref="DN2" ca="1">INDIRECT(ADDRESS(ROW(),COLUMN(),,,"Plan1"))</f>
        <v>1UF/25V</v>
      </c>
      <c r="DO2" s="40" t="str" cm="1">
        <f t="array" aca="1" ref="DO2" ca="1">INDIRECT(ADDRESS(ROW(),COLUMN(),,,"Plan1"))</f>
        <v>STD10P6F6</v>
      </c>
      <c r="DP2" s="40" cm="1">
        <f t="array" aca="1" ref="DP2" ca="1">INDIRECT(ADDRESS(ROW(),COLUMN(),,,"Plan1"))</f>
        <v>0</v>
      </c>
      <c r="DQ2" s="40" t="str" cm="1">
        <f t="array" aca="1" ref="DQ2" ca="1">INDIRECT(ADDRESS(ROW(),COLUMN(),,,"Plan1"))</f>
        <v>1K5 5W</v>
      </c>
      <c r="DR2" s="40" t="str" cm="1">
        <f t="array" aca="1" ref="DR2" ca="1">INDIRECT(ADDRESS(ROW(),COLUMN(),,,"Plan1"))</f>
        <v>22K PRO</v>
      </c>
      <c r="DS2" s="40" t="str" cm="1">
        <f t="array" aca="1" ref="DS2" ca="1">INDIRECT(ADDRESS(ROW(),COLUMN(),,,"Plan1"))</f>
        <v>0R 0402</v>
      </c>
      <c r="DT2" s="40" t="str" cm="1">
        <f t="array" aca="1" ref="DT2" ca="1">INDIRECT(ADDRESS(ROW(),COLUMN(),,,"Plan1"))</f>
        <v>LPC1788</v>
      </c>
      <c r="DU2" s="40" t="str" cm="1">
        <f t="array" aca="1" ref="DU2" ca="1">INDIRECT(ADDRESS(ROW(),COLUMN(),,,"Plan1"))</f>
        <v>SW60_36</v>
      </c>
      <c r="DV2" s="40" t="str" cm="1">
        <f t="array" aca="1" ref="DV2" ca="1">INDIRECT(ADDRESS(ROW(),COLUMN(),,,"Plan1"))</f>
        <v>INDUTOR 470UH 1206</v>
      </c>
      <c r="DW2" s="40" cm="1">
        <f t="array" aca="1" ref="DW2" ca="1">INDIRECT(ADDRESS(ROW(),COLUMN(),,,"Plan1"))</f>
        <v>0</v>
      </c>
      <c r="DX2" s="40" t="str" cm="1">
        <f t="array" aca="1" ref="DX2" ca="1">INDIRECT(ADDRESS(ROW(),COLUMN(),,,"Plan1"))</f>
        <v>120R 1206</v>
      </c>
      <c r="DY2" s="40" cm="1">
        <f t="array" aca="1" ref="DY2" ca="1">INDIRECT(ADDRESS(ROW(),COLUMN(),,,"Plan1"))</f>
        <v>0</v>
      </c>
      <c r="DZ2" s="40" cm="1">
        <f t="array" aca="1" ref="DZ2" ca="1">INDIRECT(ADDRESS(ROW(),COLUMN(),,,"Plan1"))</f>
        <v>0</v>
      </c>
      <c r="EA2" s="40" t="str" cm="1">
        <f t="array" aca="1" ref="EA2" ca="1">INDIRECT(ADDRESS(ROW(),COLUMN(),,,"Plan1"))</f>
        <v>A1193LUA-T</v>
      </c>
      <c r="EB2" s="40" cm="1">
        <f t="array" aca="1" ref="EB2" ca="1">INDIRECT(ADDRESS(ROW(),COLUMN(),,,"Plan1"))</f>
        <v>0</v>
      </c>
      <c r="EC2" s="40" cm="1">
        <f t="array" aca="1" ref="EC2" ca="1">INDIRECT(ADDRESS(ROW(),COLUMN(),,,"Plan1"))</f>
        <v>0</v>
      </c>
      <c r="ED2" s="40" cm="1">
        <f t="array" aca="1" ref="ED2" ca="1">INDIRECT(ADDRESS(ROW(),COLUMN(),,,"Plan1"))</f>
        <v>0</v>
      </c>
      <c r="EE2" s="40" cm="1">
        <f t="array" aca="1" ref="EE2" ca="1">INDIRECT(ADDRESS(ROW(),COLUMN(),,,"Plan1"))</f>
        <v>0</v>
      </c>
      <c r="EF2" s="40" cm="1">
        <f t="array" aca="1" ref="EF2" ca="1">INDIRECT(ADDRESS(ROW(),COLUMN(),,,"Plan1"))</f>
        <v>0</v>
      </c>
      <c r="EG2" s="40" cm="1">
        <f t="array" aca="1" ref="EG2" ca="1">INDIRECT(ADDRESS(ROW(),COLUMN(),,,"Plan1"))</f>
        <v>0</v>
      </c>
      <c r="EH2" s="40" cm="1">
        <f t="array" aca="1" ref="EH2" ca="1">INDIRECT(ADDRESS(ROW(),COLUMN(),,,"Plan1"))</f>
        <v>0</v>
      </c>
      <c r="EI2" s="40" cm="1">
        <f t="array" aca="1" ref="EI2" ca="1">INDIRECT(ADDRESS(ROW(),COLUMN(),,,"Plan1"))</f>
        <v>0</v>
      </c>
      <c r="EJ2" s="40" cm="1">
        <f t="array" aca="1" ref="EJ2" ca="1">INDIRECT(ADDRESS(ROW(),COLUMN(),,,"Plan1"))</f>
        <v>0</v>
      </c>
      <c r="EK2" s="40" cm="1">
        <f t="array" aca="1" ref="EK2" ca="1">INDIRECT(ADDRESS(ROW(),COLUMN(),,,"Plan1"))</f>
        <v>0</v>
      </c>
      <c r="EL2" s="40" cm="1">
        <f t="array" aca="1" ref="EL2" ca="1">INDIRECT(ADDRESS(ROW(),COLUMN(),,,"Plan1"))</f>
        <v>0</v>
      </c>
      <c r="EM2" s="40" cm="1">
        <f t="array" aca="1" ref="EM2" ca="1">INDIRECT(ADDRESS(ROW(),COLUMN(),,,"Plan1"))</f>
        <v>0</v>
      </c>
      <c r="EN2" s="40" cm="1">
        <f t="array" aca="1" ref="EN2" ca="1">INDIRECT(ADDRESS(ROW(),COLUMN(),,,"Plan1"))</f>
        <v>0</v>
      </c>
      <c r="EO2" s="40" cm="1">
        <f t="array" aca="1" ref="EO2" ca="1">INDIRECT(ADDRESS(ROW(),COLUMN(),,,"Plan1"))</f>
        <v>0</v>
      </c>
      <c r="EP2" s="41" cm="1">
        <f t="array" aca="1" ref="EP2" ca="1">INDIRECT(ADDRESS(ROW(),COLUMN(),,,"Plan1"))</f>
        <v>0</v>
      </c>
    </row>
    <row r="3" spans="1:146" s="63" customFormat="1" x14ac:dyDescent="0.25">
      <c r="A3" s="61"/>
      <c r="B3" s="62" t="s">
        <v>213</v>
      </c>
      <c r="C3" s="61">
        <v>683318941885</v>
      </c>
      <c r="D3" s="61">
        <v>683318941861</v>
      </c>
      <c r="E3" s="61">
        <v>683318941915</v>
      </c>
      <c r="F3" s="61">
        <v>852678902144</v>
      </c>
      <c r="G3" s="61" t="s">
        <v>216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61"/>
      <c r="BH3" s="61"/>
      <c r="BI3" s="61"/>
      <c r="BJ3" s="61"/>
      <c r="BK3" s="61"/>
      <c r="BL3" s="61"/>
      <c r="BM3" s="61"/>
      <c r="BN3" s="61"/>
      <c r="BO3" s="61"/>
      <c r="BP3" s="61"/>
      <c r="BQ3" s="61"/>
      <c r="BR3" s="61"/>
      <c r="BS3" s="61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  <c r="DE3" s="61"/>
      <c r="DF3" s="61"/>
      <c r="DG3" s="61"/>
      <c r="DH3" s="61"/>
      <c r="DI3" s="61"/>
      <c r="DJ3" s="61"/>
      <c r="DK3" s="61"/>
      <c r="DL3" s="61"/>
      <c r="DM3" s="61"/>
      <c r="DN3" s="61"/>
      <c r="DO3" s="61"/>
      <c r="DP3" s="61"/>
      <c r="DQ3" s="61"/>
      <c r="DR3" s="61"/>
      <c r="DS3" s="61"/>
      <c r="DT3" s="61"/>
      <c r="DU3" s="61"/>
      <c r="DV3" s="61"/>
      <c r="DW3" s="61"/>
      <c r="DX3" s="61"/>
      <c r="DY3" s="61"/>
      <c r="DZ3" s="61"/>
      <c r="EA3" s="61"/>
      <c r="EB3" s="61"/>
      <c r="EC3" s="61"/>
      <c r="ED3" s="61"/>
      <c r="EE3" s="61"/>
      <c r="EF3" s="61"/>
      <c r="EG3" s="61"/>
      <c r="EH3" s="61"/>
      <c r="EI3" s="61"/>
      <c r="EJ3" s="61"/>
      <c r="EK3" s="61"/>
      <c r="EL3" s="61"/>
      <c r="EM3" s="61"/>
      <c r="EN3" s="61"/>
      <c r="EO3" s="61"/>
      <c r="EP3" s="61"/>
    </row>
    <row r="4" spans="1:146" s="67" customFormat="1" ht="15.75" thickBot="1" x14ac:dyDescent="0.3">
      <c r="A4" s="57" t="s">
        <v>215</v>
      </c>
      <c r="B4" s="65" t="s">
        <v>214</v>
      </c>
      <c r="C4" s="66">
        <v>1000</v>
      </c>
      <c r="D4" s="66">
        <v>500</v>
      </c>
      <c r="E4" s="66">
        <v>100</v>
      </c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6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66"/>
      <c r="BI4" s="66"/>
      <c r="BJ4" s="66"/>
      <c r="BK4" s="66"/>
      <c r="BL4" s="66"/>
      <c r="BM4" s="66"/>
      <c r="BN4" s="66"/>
      <c r="BO4" s="66"/>
      <c r="BP4" s="66"/>
      <c r="BQ4" s="66"/>
      <c r="BR4" s="66"/>
      <c r="BS4" s="66"/>
      <c r="BT4" s="66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  <c r="CH4" s="66"/>
      <c r="CI4" s="66"/>
      <c r="CJ4" s="66"/>
      <c r="CK4" s="66"/>
      <c r="CL4" s="66"/>
      <c r="CM4" s="66"/>
      <c r="CN4" s="66"/>
      <c r="CO4" s="66"/>
      <c r="CP4" s="66"/>
      <c r="CQ4" s="66"/>
      <c r="CR4" s="66"/>
      <c r="CS4" s="66"/>
      <c r="CT4" s="66"/>
      <c r="CU4" s="66"/>
      <c r="CV4" s="66"/>
      <c r="CW4" s="66"/>
      <c r="CX4" s="66"/>
      <c r="CY4" s="66"/>
      <c r="CZ4" s="66"/>
      <c r="DA4" s="66"/>
      <c r="DB4" s="66"/>
      <c r="DC4" s="66"/>
      <c r="DD4" s="66"/>
      <c r="DE4" s="66"/>
      <c r="DF4" s="66"/>
      <c r="DG4" s="66"/>
      <c r="DH4" s="66"/>
      <c r="DI4" s="66"/>
      <c r="DJ4" s="66"/>
      <c r="DK4" s="66"/>
      <c r="DL4" s="66"/>
      <c r="DM4" s="66"/>
      <c r="DN4" s="66"/>
      <c r="DO4" s="66"/>
      <c r="DP4" s="66"/>
      <c r="DQ4" s="66"/>
      <c r="DR4" s="66"/>
      <c r="DS4" s="66"/>
      <c r="DT4" s="66"/>
      <c r="DU4" s="66"/>
      <c r="DV4" s="66"/>
      <c r="DW4" s="66"/>
      <c r="DX4" s="66"/>
      <c r="DY4" s="66"/>
      <c r="DZ4" s="66"/>
      <c r="EA4" s="66"/>
      <c r="EB4" s="66"/>
      <c r="EC4" s="66"/>
      <c r="ED4" s="66"/>
      <c r="EE4" s="66"/>
      <c r="EF4" s="66"/>
      <c r="EG4" s="66"/>
      <c r="EH4" s="66"/>
      <c r="EI4" s="66"/>
      <c r="EJ4" s="66"/>
      <c r="EK4" s="66"/>
      <c r="EL4" s="66"/>
      <c r="EM4" s="66"/>
      <c r="EN4" s="66"/>
      <c r="EO4" s="66"/>
      <c r="EP4" s="66"/>
    </row>
    <row r="5" spans="1:146" x14ac:dyDescent="0.25">
      <c r="A5" s="42">
        <v>44089</v>
      </c>
      <c r="B5" s="58"/>
    </row>
    <row r="6" spans="1:146" x14ac:dyDescent="0.25">
      <c r="A6" s="42">
        <v>44090</v>
      </c>
      <c r="B6" s="58"/>
    </row>
    <row r="7" spans="1:146" x14ac:dyDescent="0.25">
      <c r="A7" s="42">
        <v>44113</v>
      </c>
      <c r="B7" s="58"/>
      <c r="C7" s="39">
        <v>3</v>
      </c>
      <c r="D7" s="39">
        <v>2</v>
      </c>
      <c r="E7" s="39">
        <v>2</v>
      </c>
    </row>
    <row r="8" spans="1:146" x14ac:dyDescent="0.25">
      <c r="A8" s="42">
        <v>44114</v>
      </c>
      <c r="B8" s="58"/>
      <c r="C8" s="39">
        <v>6</v>
      </c>
      <c r="D8" s="39">
        <v>1</v>
      </c>
      <c r="E8" s="39">
        <v>1</v>
      </c>
    </row>
    <row r="9" spans="1:146" x14ac:dyDescent="0.25">
      <c r="A9" s="42">
        <v>44115</v>
      </c>
      <c r="B9" s="58"/>
    </row>
    <row r="10" spans="1:146" x14ac:dyDescent="0.25">
      <c r="A10" s="42">
        <v>44116</v>
      </c>
      <c r="B10" s="58"/>
    </row>
    <row r="11" spans="1:146" x14ac:dyDescent="0.25">
      <c r="A11" s="42">
        <v>44120</v>
      </c>
      <c r="B11" s="58"/>
      <c r="G11" s="39">
        <v>3</v>
      </c>
    </row>
    <row r="12" spans="1:146" x14ac:dyDescent="0.25">
      <c r="A12" s="42">
        <v>44121</v>
      </c>
      <c r="B12" s="58"/>
    </row>
    <row r="13" spans="1:146" x14ac:dyDescent="0.25">
      <c r="A13" s="68">
        <v>0</v>
      </c>
      <c r="B13" s="58"/>
    </row>
    <row r="14" spans="1:146" x14ac:dyDescent="0.25">
      <c r="B14" s="58"/>
    </row>
    <row r="15" spans="1:146" x14ac:dyDescent="0.25">
      <c r="B15" s="58"/>
    </row>
    <row r="16" spans="1:146" x14ac:dyDescent="0.25">
      <c r="B16" s="58"/>
    </row>
    <row r="17" spans="2:2" x14ac:dyDescent="0.25">
      <c r="B17" s="58"/>
    </row>
    <row r="18" spans="2:2" x14ac:dyDescent="0.25">
      <c r="B18" s="58"/>
    </row>
    <row r="19" spans="2:2" x14ac:dyDescent="0.25">
      <c r="B19" s="58"/>
    </row>
    <row r="20" spans="2:2" x14ac:dyDescent="0.25">
      <c r="B20" s="58"/>
    </row>
    <row r="21" spans="2:2" x14ac:dyDescent="0.25">
      <c r="B21" s="58"/>
    </row>
    <row r="22" spans="2:2" x14ac:dyDescent="0.25">
      <c r="B22" s="58"/>
    </row>
    <row r="23" spans="2:2" x14ac:dyDescent="0.25">
      <c r="B23" s="58"/>
    </row>
    <row r="24" spans="2:2" x14ac:dyDescent="0.25">
      <c r="B24" s="58"/>
    </row>
    <row r="25" spans="2:2" x14ac:dyDescent="0.25">
      <c r="B25" s="58"/>
    </row>
    <row r="26" spans="2:2" x14ac:dyDescent="0.25">
      <c r="B26" s="58"/>
    </row>
    <row r="27" spans="2:2" x14ac:dyDescent="0.25">
      <c r="B27" s="58"/>
    </row>
    <row r="28" spans="2:2" x14ac:dyDescent="0.25">
      <c r="B28" s="58"/>
    </row>
    <row r="29" spans="2:2" x14ac:dyDescent="0.25">
      <c r="B29" s="58"/>
    </row>
    <row r="30" spans="2:2" x14ac:dyDescent="0.25">
      <c r="B30" s="58"/>
    </row>
    <row r="31" spans="2:2" x14ac:dyDescent="0.25">
      <c r="B31" s="58"/>
    </row>
    <row r="32" spans="2:2" x14ac:dyDescent="0.25">
      <c r="B32" s="58"/>
    </row>
    <row r="33" spans="2:2" x14ac:dyDescent="0.25">
      <c r="B33" s="58"/>
    </row>
    <row r="34" spans="2:2" x14ac:dyDescent="0.25">
      <c r="B34" s="58"/>
    </row>
    <row r="35" spans="2:2" x14ac:dyDescent="0.25">
      <c r="B35" s="58"/>
    </row>
    <row r="36" spans="2:2" x14ac:dyDescent="0.25">
      <c r="B36" s="58"/>
    </row>
    <row r="37" spans="2:2" x14ac:dyDescent="0.25">
      <c r="B37" s="58"/>
    </row>
    <row r="38" spans="2:2" x14ac:dyDescent="0.25">
      <c r="B38" s="58"/>
    </row>
    <row r="39" spans="2:2" x14ac:dyDescent="0.25">
      <c r="B39" s="58"/>
    </row>
    <row r="40" spans="2:2" x14ac:dyDescent="0.25">
      <c r="B40" s="58"/>
    </row>
    <row r="41" spans="2:2" x14ac:dyDescent="0.25">
      <c r="B41" s="58"/>
    </row>
    <row r="42" spans="2:2" x14ac:dyDescent="0.25">
      <c r="B42" s="58"/>
    </row>
    <row r="43" spans="2:2" x14ac:dyDescent="0.25">
      <c r="B43" s="58"/>
    </row>
    <row r="44" spans="2:2" x14ac:dyDescent="0.25">
      <c r="B44" s="58"/>
    </row>
    <row r="45" spans="2:2" x14ac:dyDescent="0.25">
      <c r="B45" s="58"/>
    </row>
    <row r="46" spans="2:2" x14ac:dyDescent="0.25">
      <c r="B46" s="58"/>
    </row>
    <row r="47" spans="2:2" x14ac:dyDescent="0.25">
      <c r="B47" s="58"/>
    </row>
    <row r="48" spans="2:2" x14ac:dyDescent="0.25">
      <c r="B48" s="58"/>
    </row>
    <row r="49" spans="2:2" x14ac:dyDescent="0.25">
      <c r="B49" s="58"/>
    </row>
    <row r="50" spans="2:2" x14ac:dyDescent="0.25">
      <c r="B50" s="58"/>
    </row>
    <row r="51" spans="2:2" x14ac:dyDescent="0.25">
      <c r="B51" s="58"/>
    </row>
    <row r="52" spans="2:2" x14ac:dyDescent="0.25">
      <c r="B52" s="58"/>
    </row>
    <row r="53" spans="2:2" x14ac:dyDescent="0.25">
      <c r="B53" s="58"/>
    </row>
    <row r="54" spans="2:2" x14ac:dyDescent="0.25">
      <c r="B54" s="58"/>
    </row>
    <row r="55" spans="2:2" x14ac:dyDescent="0.25">
      <c r="B55" s="58"/>
    </row>
    <row r="56" spans="2:2" x14ac:dyDescent="0.25">
      <c r="B56" s="58"/>
    </row>
    <row r="57" spans="2:2" x14ac:dyDescent="0.25">
      <c r="B57" s="58"/>
    </row>
    <row r="58" spans="2:2" x14ac:dyDescent="0.25">
      <c r="B58" s="58"/>
    </row>
    <row r="59" spans="2:2" x14ac:dyDescent="0.25">
      <c r="B59" s="58"/>
    </row>
    <row r="60" spans="2:2" x14ac:dyDescent="0.25">
      <c r="B60" s="58"/>
    </row>
    <row r="61" spans="2:2" x14ac:dyDescent="0.25">
      <c r="B61" s="58"/>
    </row>
    <row r="62" spans="2:2" x14ac:dyDescent="0.25">
      <c r="B62" s="58"/>
    </row>
    <row r="63" spans="2:2" x14ac:dyDescent="0.25">
      <c r="B63" s="58"/>
    </row>
    <row r="64" spans="2:2" x14ac:dyDescent="0.25">
      <c r="B64" s="58"/>
    </row>
    <row r="65" spans="2:2" x14ac:dyDescent="0.25">
      <c r="B65" s="58"/>
    </row>
    <row r="66" spans="2:2" x14ac:dyDescent="0.25">
      <c r="B66" s="58"/>
    </row>
    <row r="67" spans="2:2" x14ac:dyDescent="0.25">
      <c r="B67" s="58"/>
    </row>
    <row r="68" spans="2:2" x14ac:dyDescent="0.25">
      <c r="B68" s="58"/>
    </row>
    <row r="69" spans="2:2" x14ac:dyDescent="0.25">
      <c r="B69" s="58"/>
    </row>
    <row r="70" spans="2:2" x14ac:dyDescent="0.25">
      <c r="B70" s="58"/>
    </row>
    <row r="71" spans="2:2" x14ac:dyDescent="0.25">
      <c r="B71" s="58"/>
    </row>
    <row r="72" spans="2:2" x14ac:dyDescent="0.25">
      <c r="B72" s="58"/>
    </row>
    <row r="73" spans="2:2" x14ac:dyDescent="0.25">
      <c r="B73" s="58"/>
    </row>
    <row r="74" spans="2:2" x14ac:dyDescent="0.25">
      <c r="B74" s="58"/>
    </row>
    <row r="75" spans="2:2" x14ac:dyDescent="0.25">
      <c r="B75" s="58"/>
    </row>
    <row r="76" spans="2:2" x14ac:dyDescent="0.25">
      <c r="B76" s="58"/>
    </row>
    <row r="77" spans="2:2" x14ac:dyDescent="0.25">
      <c r="B77" s="58"/>
    </row>
    <row r="78" spans="2:2" x14ac:dyDescent="0.25">
      <c r="B78" s="58"/>
    </row>
    <row r="79" spans="2:2" x14ac:dyDescent="0.25">
      <c r="B79" s="58"/>
    </row>
    <row r="80" spans="2:2" x14ac:dyDescent="0.25">
      <c r="B80" s="58"/>
    </row>
    <row r="81" spans="2:2" x14ac:dyDescent="0.25">
      <c r="B81" s="58"/>
    </row>
    <row r="82" spans="2:2" x14ac:dyDescent="0.25">
      <c r="B82" s="58"/>
    </row>
    <row r="83" spans="2:2" x14ac:dyDescent="0.25">
      <c r="B83" s="58"/>
    </row>
    <row r="84" spans="2:2" x14ac:dyDescent="0.25">
      <c r="B84" s="58"/>
    </row>
    <row r="85" spans="2:2" x14ac:dyDescent="0.25">
      <c r="B85" s="58"/>
    </row>
    <row r="86" spans="2:2" x14ac:dyDescent="0.25">
      <c r="B86" s="58"/>
    </row>
    <row r="87" spans="2:2" x14ac:dyDescent="0.25">
      <c r="B87" s="58"/>
    </row>
    <row r="88" spans="2:2" x14ac:dyDescent="0.25">
      <c r="B88" s="58"/>
    </row>
    <row r="89" spans="2:2" x14ac:dyDescent="0.25">
      <c r="B89" s="58"/>
    </row>
    <row r="90" spans="2:2" x14ac:dyDescent="0.25">
      <c r="B90" s="58"/>
    </row>
    <row r="91" spans="2:2" x14ac:dyDescent="0.25">
      <c r="B91" s="58"/>
    </row>
    <row r="92" spans="2:2" x14ac:dyDescent="0.25">
      <c r="B92" s="58"/>
    </row>
    <row r="93" spans="2:2" x14ac:dyDescent="0.25">
      <c r="B93" s="58"/>
    </row>
    <row r="94" spans="2:2" x14ac:dyDescent="0.25">
      <c r="B94" s="58"/>
    </row>
    <row r="95" spans="2:2" x14ac:dyDescent="0.25">
      <c r="B95" s="58"/>
    </row>
    <row r="96" spans="2:2" x14ac:dyDescent="0.25">
      <c r="B96" s="58"/>
    </row>
    <row r="97" spans="2:2" x14ac:dyDescent="0.25">
      <c r="B97" s="58"/>
    </row>
    <row r="98" spans="2:2" x14ac:dyDescent="0.25">
      <c r="B98" s="58"/>
    </row>
    <row r="99" spans="2:2" x14ac:dyDescent="0.25">
      <c r="B99" s="58"/>
    </row>
    <row r="100" spans="2:2" x14ac:dyDescent="0.25">
      <c r="B100" s="58"/>
    </row>
    <row r="101" spans="2:2" x14ac:dyDescent="0.25">
      <c r="B101" s="58"/>
    </row>
    <row r="102" spans="2:2" x14ac:dyDescent="0.25">
      <c r="B102" s="58"/>
    </row>
    <row r="103" spans="2:2" x14ac:dyDescent="0.25">
      <c r="B103" s="58"/>
    </row>
    <row r="104" spans="2:2" x14ac:dyDescent="0.25">
      <c r="B104" s="58"/>
    </row>
    <row r="105" spans="2:2" x14ac:dyDescent="0.25">
      <c r="B105" s="58"/>
    </row>
    <row r="106" spans="2:2" x14ac:dyDescent="0.25">
      <c r="B106" s="58"/>
    </row>
    <row r="107" spans="2:2" x14ac:dyDescent="0.25">
      <c r="B107" s="58"/>
    </row>
    <row r="108" spans="2:2" x14ac:dyDescent="0.25">
      <c r="B108" s="58"/>
    </row>
    <row r="109" spans="2:2" x14ac:dyDescent="0.25">
      <c r="B109" s="58"/>
    </row>
    <row r="110" spans="2:2" x14ac:dyDescent="0.25">
      <c r="B110" s="58"/>
    </row>
    <row r="111" spans="2:2" x14ac:dyDescent="0.25">
      <c r="B111" s="58"/>
    </row>
    <row r="112" spans="2:2" x14ac:dyDescent="0.25">
      <c r="B112" s="58"/>
    </row>
    <row r="113" spans="2:2" x14ac:dyDescent="0.25">
      <c r="B113" s="58"/>
    </row>
    <row r="114" spans="2:2" x14ac:dyDescent="0.25">
      <c r="B114" s="58"/>
    </row>
    <row r="115" spans="2:2" x14ac:dyDescent="0.25">
      <c r="B115" s="58"/>
    </row>
    <row r="116" spans="2:2" x14ac:dyDescent="0.25">
      <c r="B116" s="58"/>
    </row>
    <row r="117" spans="2:2" x14ac:dyDescent="0.25">
      <c r="B117" s="58"/>
    </row>
    <row r="118" spans="2:2" x14ac:dyDescent="0.25">
      <c r="B118" s="58"/>
    </row>
    <row r="119" spans="2:2" x14ac:dyDescent="0.25">
      <c r="B119" s="58"/>
    </row>
    <row r="120" spans="2:2" x14ac:dyDescent="0.25">
      <c r="B120" s="58"/>
    </row>
    <row r="121" spans="2:2" x14ac:dyDescent="0.25">
      <c r="B121" s="58"/>
    </row>
    <row r="122" spans="2:2" x14ac:dyDescent="0.25">
      <c r="B122" s="58"/>
    </row>
    <row r="123" spans="2:2" x14ac:dyDescent="0.25">
      <c r="B123" s="58"/>
    </row>
    <row r="124" spans="2:2" x14ac:dyDescent="0.25">
      <c r="B124" s="58"/>
    </row>
    <row r="125" spans="2:2" x14ac:dyDescent="0.25">
      <c r="B125" s="58"/>
    </row>
    <row r="126" spans="2:2" x14ac:dyDescent="0.25">
      <c r="B126" s="58"/>
    </row>
    <row r="127" spans="2:2" x14ac:dyDescent="0.25">
      <c r="B127" s="58"/>
    </row>
    <row r="128" spans="2:2" x14ac:dyDescent="0.25">
      <c r="B128" s="58"/>
    </row>
    <row r="129" spans="2:2" x14ac:dyDescent="0.25">
      <c r="B129" s="58"/>
    </row>
    <row r="130" spans="2:2" x14ac:dyDescent="0.25">
      <c r="B130" s="58"/>
    </row>
    <row r="131" spans="2:2" x14ac:dyDescent="0.25">
      <c r="B131" s="58"/>
    </row>
    <row r="132" spans="2:2" x14ac:dyDescent="0.25">
      <c r="B132" s="58"/>
    </row>
    <row r="133" spans="2:2" x14ac:dyDescent="0.25">
      <c r="B133" s="58"/>
    </row>
    <row r="134" spans="2:2" x14ac:dyDescent="0.25">
      <c r="B134" s="58"/>
    </row>
    <row r="135" spans="2:2" x14ac:dyDescent="0.25">
      <c r="B135" s="58"/>
    </row>
    <row r="136" spans="2:2" x14ac:dyDescent="0.25">
      <c r="B136" s="58"/>
    </row>
    <row r="137" spans="2:2" x14ac:dyDescent="0.25">
      <c r="B137" s="58"/>
    </row>
    <row r="138" spans="2:2" x14ac:dyDescent="0.25">
      <c r="B138" s="58"/>
    </row>
    <row r="139" spans="2:2" x14ac:dyDescent="0.25">
      <c r="B139" s="58"/>
    </row>
    <row r="140" spans="2:2" x14ac:dyDescent="0.25">
      <c r="B140" s="58"/>
    </row>
    <row r="141" spans="2:2" x14ac:dyDescent="0.25">
      <c r="B141" s="58"/>
    </row>
    <row r="142" spans="2:2" x14ac:dyDescent="0.25">
      <c r="B142" s="58"/>
    </row>
    <row r="143" spans="2:2" x14ac:dyDescent="0.25">
      <c r="B143" s="58"/>
    </row>
    <row r="144" spans="2:2" x14ac:dyDescent="0.25">
      <c r="B144" s="58"/>
    </row>
    <row r="145" spans="2:2" x14ac:dyDescent="0.25">
      <c r="B145" s="58"/>
    </row>
    <row r="146" spans="2:2" x14ac:dyDescent="0.25">
      <c r="B146" s="58"/>
    </row>
    <row r="147" spans="2:2" x14ac:dyDescent="0.25">
      <c r="B147" s="58"/>
    </row>
    <row r="148" spans="2:2" x14ac:dyDescent="0.25">
      <c r="B148" s="58"/>
    </row>
    <row r="149" spans="2:2" x14ac:dyDescent="0.25">
      <c r="B149" s="58"/>
    </row>
    <row r="150" spans="2:2" x14ac:dyDescent="0.25">
      <c r="B150" s="58"/>
    </row>
    <row r="151" spans="2:2" x14ac:dyDescent="0.25">
      <c r="B151" s="58"/>
    </row>
    <row r="152" spans="2:2" x14ac:dyDescent="0.25">
      <c r="B152" s="58"/>
    </row>
    <row r="153" spans="2:2" x14ac:dyDescent="0.25">
      <c r="B153" s="58"/>
    </row>
    <row r="154" spans="2:2" x14ac:dyDescent="0.25">
      <c r="B154" s="58"/>
    </row>
    <row r="155" spans="2:2" x14ac:dyDescent="0.25">
      <c r="B155" s="58"/>
    </row>
  </sheetData>
  <sortState xmlns:xlrd2="http://schemas.microsoft.com/office/spreadsheetml/2017/richdata2" ref="A5:EP9">
    <sortCondition ref="A5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Win7</dc:creator>
  <cp:lastModifiedBy>PCdGU</cp:lastModifiedBy>
  <cp:lastPrinted>2018-07-01T12:11:42Z</cp:lastPrinted>
  <dcterms:created xsi:type="dcterms:W3CDTF">2011-12-04T11:12:31Z</dcterms:created>
  <dcterms:modified xsi:type="dcterms:W3CDTF">2020-10-17T01:30:44Z</dcterms:modified>
</cp:coreProperties>
</file>