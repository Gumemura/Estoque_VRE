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vremo\Documents\GIT\Estoque_VRE\"/>
    </mc:Choice>
  </mc:AlternateContent>
  <xr:revisionPtr revIDLastSave="0" documentId="13_ncr:1_{27FA48FA-E8B1-4F12-8C58-CEFA98C09CBC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  <sheet name="Plan2" sheetId="3" r:id="rId2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9" i="1" l="1"/>
  <c r="N7" i="1" l="1"/>
  <c r="L7" i="1"/>
  <c r="J7" i="1"/>
  <c r="G7" i="1"/>
  <c r="C7" i="1"/>
  <c r="J2" i="3" a="1"/>
  <c r="I2" i="3" a="1"/>
  <c r="J2" i="3" l="1"/>
  <c r="I2" i="3"/>
  <c r="AH44" i="1"/>
  <c r="AH42" i="1"/>
  <c r="AH41" i="1"/>
  <c r="AH40" i="1"/>
  <c r="AH39" i="1"/>
  <c r="DS19" i="1"/>
  <c r="FH52" i="1" l="1"/>
  <c r="EZ52" i="1"/>
  <c r="EX52" i="1"/>
  <c r="ES52" i="1"/>
  <c r="EQ52" i="1"/>
  <c r="EM52" i="1" l="1"/>
  <c r="EJ52" i="1"/>
  <c r="EI52" i="1"/>
  <c r="EG52" i="1"/>
  <c r="EE52" i="1"/>
  <c r="ED52" i="1"/>
  <c r="EC52" i="1"/>
  <c r="EB52" i="1"/>
  <c r="EA52" i="1"/>
  <c r="DY52" i="1"/>
  <c r="DV52" i="1"/>
  <c r="DQ52" i="1"/>
  <c r="DP52" i="1"/>
  <c r="DO52" i="1"/>
  <c r="DK52" i="1"/>
  <c r="DJ52" i="1"/>
  <c r="DI52" i="1"/>
  <c r="DE52" i="1"/>
  <c r="DD52" i="1"/>
  <c r="DB52" i="1"/>
  <c r="CY52" i="1"/>
  <c r="CW52" i="1"/>
  <c r="CV52" i="1"/>
  <c r="CU52" i="1"/>
  <c r="CT52" i="1"/>
  <c r="CS52" i="1"/>
  <c r="CQ52" i="1"/>
  <c r="CO52" i="1"/>
  <c r="CM52" i="1"/>
  <c r="CK52" i="1"/>
  <c r="CI52" i="1"/>
  <c r="CC52" i="1"/>
  <c r="CB52" i="1"/>
  <c r="BW52" i="1"/>
  <c r="BP52" i="1"/>
  <c r="BJ52" i="1"/>
  <c r="BI52" i="1"/>
  <c r="BE52" i="1"/>
  <c r="AU52" i="1"/>
  <c r="D52" i="1" l="1"/>
  <c r="FG44" i="1"/>
  <c r="FG52" i="1" s="1"/>
  <c r="FF44" i="1"/>
  <c r="FF52" i="1" s="1"/>
  <c r="R44" i="1"/>
  <c r="FE44" i="1"/>
  <c r="FE52" i="1" s="1"/>
  <c r="DG44" i="1"/>
  <c r="Q44" i="1"/>
  <c r="FD44" i="1"/>
  <c r="FD52" i="1" s="1"/>
  <c r="O44" i="1"/>
  <c r="BA44" i="1"/>
  <c r="FC44" i="1"/>
  <c r="FC52" i="1" s="1"/>
  <c r="L44" i="1"/>
  <c r="N44" i="1"/>
  <c r="BK44" i="1"/>
  <c r="BK52" i="1" s="1"/>
  <c r="F44" i="1"/>
  <c r="P44" i="1"/>
  <c r="FB43" i="1" l="1"/>
  <c r="FB52" i="1" s="1"/>
  <c r="FA43" i="1"/>
  <c r="EY43" i="1"/>
  <c r="EW43" i="1"/>
  <c r="EW52" i="1" s="1"/>
  <c r="EV43" i="1"/>
  <c r="EV52" i="1" s="1"/>
  <c r="EU43" i="1"/>
  <c r="EU52" i="1" s="1"/>
  <c r="ET43" i="1"/>
  <c r="ET52" i="1" s="1"/>
  <c r="EK43" i="1" l="1"/>
  <c r="EF26" i="1"/>
  <c r="EF52" i="1" s="1"/>
  <c r="DU43" i="1"/>
  <c r="CR43" i="1"/>
  <c r="CD43" i="1"/>
  <c r="CA43" i="1"/>
  <c r="BZ43" i="1"/>
  <c r="BR43" i="1"/>
  <c r="AW43" i="1"/>
  <c r="AH43" i="1"/>
  <c r="AE43" i="1"/>
  <c r="AB43" i="1"/>
  <c r="Z43" i="1"/>
  <c r="C43" i="1"/>
  <c r="W43" i="1"/>
  <c r="R43" i="1"/>
  <c r="P43" i="1"/>
  <c r="N43" i="1"/>
  <c r="L43" i="1"/>
  <c r="K43" i="1"/>
  <c r="BH52" i="1"/>
  <c r="BF52" i="1"/>
  <c r="ER25" i="1" l="1"/>
  <c r="ER52" i="1" l="1"/>
  <c r="EP25" i="1"/>
  <c r="EO25" i="1"/>
  <c r="EN25" i="1"/>
  <c r="EL25" i="1"/>
  <c r="DW25" i="1"/>
  <c r="DU25" i="1"/>
  <c r="DA25" i="1"/>
  <c r="CD25" i="1"/>
  <c r="CA25" i="1"/>
  <c r="BZ25" i="1"/>
  <c r="BR25" i="1"/>
  <c r="BO25" i="1"/>
  <c r="BD25" i="1"/>
  <c r="AW25" i="1"/>
  <c r="AQ25" i="1"/>
  <c r="AJ25" i="1"/>
  <c r="AH25" i="1"/>
  <c r="AE25" i="1"/>
  <c r="AB25" i="1"/>
  <c r="Z25" i="1"/>
  <c r="X25" i="1"/>
  <c r="W25" i="1"/>
  <c r="R25" i="1"/>
  <c r="O25" i="1"/>
  <c r="K25" i="1"/>
  <c r="L25" i="1"/>
  <c r="N25" i="1"/>
  <c r="P25" i="1"/>
  <c r="BN53" i="1" a="1"/>
  <c r="ED2" i="3" a="1"/>
  <c r="CP53" i="1" a="1"/>
  <c r="DI53" i="1" a="1"/>
  <c r="CV2" i="3" a="1"/>
  <c r="AL53" i="1" a="1"/>
  <c r="CJ2" i="3" a="1"/>
  <c r="CH2" i="3" a="1"/>
  <c r="CU53" i="1" a="1"/>
  <c r="CL53" i="1" a="1"/>
  <c r="AP53" i="1" a="1"/>
  <c r="DH53" i="1" a="1"/>
  <c r="AF2" i="3" a="1"/>
  <c r="CC53" i="1" a="1"/>
  <c r="M2" i="3" a="1"/>
  <c r="G53" i="1" a="1"/>
  <c r="BF2" i="3" a="1"/>
  <c r="AN2" i="3" a="1"/>
  <c r="N53" i="1" a="1"/>
  <c r="V53" i="1" a="1"/>
  <c r="DN2" i="3" a="1"/>
  <c r="CM2" i="3" a="1"/>
  <c r="EJ53" i="1" a="1"/>
  <c r="CJ53" i="1" a="1"/>
  <c r="BJ2" i="3" a="1"/>
  <c r="AU53" i="1" a="1"/>
  <c r="CY2" i="3" a="1"/>
  <c r="DQ53" i="1" a="1"/>
  <c r="CA53" i="1" a="1"/>
  <c r="CZ53" i="1" a="1"/>
  <c r="AB2" i="3" a="1"/>
  <c r="EU53" i="1" a="1"/>
  <c r="CH53" i="1" a="1"/>
  <c r="CO53" i="1" a="1"/>
  <c r="CW2" i="3" a="1"/>
  <c r="DB53" i="1" a="1"/>
  <c r="AO2" i="3" a="1"/>
  <c r="BE2" i="3" a="1"/>
  <c r="AC2" i="3" a="1"/>
  <c r="Y53" i="1" a="1"/>
  <c r="DR2" i="3" a="1"/>
  <c r="AT2" i="3" a="1"/>
  <c r="EM53" i="1" a="1"/>
  <c r="AH53" i="1" a="1"/>
  <c r="DP53" i="1" a="1"/>
  <c r="DV53" i="1" a="1"/>
  <c r="L53" i="1" a="1"/>
  <c r="AC53" i="1" a="1"/>
  <c r="EP2" i="3" a="1"/>
  <c r="FK53" i="1" a="1"/>
  <c r="BN2" i="3" a="1"/>
  <c r="CT53" i="1" a="1"/>
  <c r="BZ53" i="1" a="1"/>
  <c r="AH2" i="3" a="1"/>
  <c r="BB53" i="1" a="1"/>
  <c r="DO53" i="1" a="1"/>
  <c r="CL2" i="3" a="1"/>
  <c r="AE53" i="1" a="1"/>
  <c r="EG2" i="3" a="1"/>
  <c r="DD2" i="3" a="1"/>
  <c r="CN53" i="1" a="1"/>
  <c r="EG53" i="1" a="1"/>
  <c r="DE53" i="1" a="1"/>
  <c r="AX53" i="1" a="1"/>
  <c r="FE53" i="1" a="1"/>
  <c r="N2" i="3" a="1"/>
  <c r="BH53" i="1" a="1"/>
  <c r="O53" i="1" a="1"/>
  <c r="BQ53" i="1" a="1"/>
  <c r="S53" i="1" a="1"/>
  <c r="CN2" i="3" a="1"/>
  <c r="AV53" i="1" a="1"/>
  <c r="CC2" i="3" a="1"/>
  <c r="CM53" i="1" a="1"/>
  <c r="EY53" i="1" a="1"/>
  <c r="FF53" i="1" a="1"/>
  <c r="C53" i="1" a="1"/>
  <c r="EJ2" i="3" a="1"/>
  <c r="BP53" i="1" a="1"/>
  <c r="CB53" i="1" a="1"/>
  <c r="CV53" i="1" a="1"/>
  <c r="DH2" i="3" a="1"/>
  <c r="EP53" i="1" a="1"/>
  <c r="EC53" i="1" a="1"/>
  <c r="AY2" i="3" a="1"/>
  <c r="BP2" i="3" a="1"/>
  <c r="AQ53" i="1" a="1"/>
  <c r="FP53" i="1" a="1"/>
  <c r="EI2" i="3" a="1"/>
  <c r="CF53" i="1" a="1"/>
  <c r="CS53" i="1" a="1"/>
  <c r="D53" i="1" a="1"/>
  <c r="AP2" i="3" a="1"/>
  <c r="BA53" i="1" a="1"/>
  <c r="CD2" i="3" a="1"/>
  <c r="AW2" i="3" a="1"/>
  <c r="EX53" i="1" a="1"/>
  <c r="FN53" i="1" a="1"/>
  <c r="AU2" i="3" a="1"/>
  <c r="BL53" i="1" a="1"/>
  <c r="ET53" i="1" a="1"/>
  <c r="FJ53" i="1" a="1"/>
  <c r="G2" i="3" a="1"/>
  <c r="AM2" i="3" a="1"/>
  <c r="CI53" i="1" a="1"/>
  <c r="BC53" i="1" a="1"/>
  <c r="EZ53" i="1" a="1"/>
  <c r="BW2" i="3" a="1"/>
  <c r="DL2" i="3" a="1"/>
  <c r="F2" i="3" a="1"/>
  <c r="AO53" i="1" a="1"/>
  <c r="X2" i="3" a="1"/>
  <c r="DW53" i="1" a="1"/>
  <c r="BD53" i="1" a="1"/>
  <c r="X53" i="1" a="1"/>
  <c r="E2" i="3" a="1"/>
  <c r="EH2" i="3" a="1"/>
  <c r="AZ53" i="1" a="1"/>
  <c r="EM2" i="3" a="1"/>
  <c r="Z53" i="1" a="1"/>
  <c r="BX2" i="3" a="1"/>
  <c r="DC2" i="3" a="1"/>
  <c r="CT2" i="3" a="1"/>
  <c r="EK53" i="1" a="1"/>
  <c r="DV2" i="3" a="1"/>
  <c r="DB2" i="3" a="1"/>
  <c r="BO53" i="1" a="1"/>
  <c r="AT53" i="1" a="1"/>
  <c r="AD2" i="3" a="1"/>
  <c r="AB53" i="1" a="1"/>
  <c r="CX53" i="1" a="1"/>
  <c r="EO53" i="1" a="1"/>
  <c r="DN53" i="1" a="1"/>
  <c r="AG53" i="1" a="1"/>
  <c r="AQ2" i="3" a="1"/>
  <c r="CE2" i="3" a="1"/>
  <c r="DF2" i="3" a="1"/>
  <c r="DX53" i="1" a="1"/>
  <c r="BE53" i="1" a="1"/>
  <c r="EC2" i="3" a="1"/>
  <c r="BW53" i="1" a="1"/>
  <c r="DC53" i="1" a="1"/>
  <c r="BB2" i="3" a="1"/>
  <c r="Q53" i="1" a="1"/>
  <c r="EE53" i="1" a="1"/>
  <c r="DO2" i="3" a="1"/>
  <c r="EB53" i="1" a="1"/>
  <c r="FD53" i="1" a="1"/>
  <c r="FL53" i="1" a="1"/>
  <c r="CR2" i="3" a="1"/>
  <c r="BT53" i="1" a="1"/>
  <c r="BQ2" i="3" a="1"/>
  <c r="BJ53" i="1" a="1"/>
  <c r="S2" i="3" a="1"/>
  <c r="BI2" i="3" a="1"/>
  <c r="ER53" i="1" a="1"/>
  <c r="CO2" i="3" a="1"/>
  <c r="P53" i="1" a="1"/>
  <c r="CQ2" i="3" a="1"/>
  <c r="DR53" i="1" a="1"/>
  <c r="CB2" i="3" a="1"/>
  <c r="BL2" i="3" a="1"/>
  <c r="EO2" i="3" a="1"/>
  <c r="DA53" i="1" a="1"/>
  <c r="EN2" i="3" a="1"/>
  <c r="CF2" i="3" a="1"/>
  <c r="BF53" i="1" a="1"/>
  <c r="DE2" i="3" a="1"/>
  <c r="E53" i="1" a="1"/>
  <c r="V2" i="3" a="1"/>
  <c r="CE53" i="1" a="1"/>
  <c r="BU53" i="1" a="1"/>
  <c r="BV53" i="1" a="1"/>
  <c r="CZ2" i="3" a="1"/>
  <c r="AJ53" i="1" a="1"/>
  <c r="FI53" i="1" a="1"/>
  <c r="BD2" i="3" a="1"/>
  <c r="DT2" i="3" a="1"/>
  <c r="EE2" i="3" a="1"/>
  <c r="AI53" i="1" a="1"/>
  <c r="DT53" i="1" a="1"/>
  <c r="AK53" i="1" a="1"/>
  <c r="CX2" i="3" a="1"/>
  <c r="FC53" i="1" a="1"/>
  <c r="DU2" i="3" a="1"/>
  <c r="BM53" i="1" a="1"/>
  <c r="BH2" i="3" a="1"/>
  <c r="DM53" i="1" a="1"/>
  <c r="BS53" i="1" a="1"/>
  <c r="EI53" i="1" a="1"/>
  <c r="CS2" i="3" a="1"/>
  <c r="DF53" i="1" a="1"/>
  <c r="AW53" i="1" a="1"/>
  <c r="DY53" i="1" a="1"/>
  <c r="CP2" i="3" a="1"/>
  <c r="EH53" i="1" a="1"/>
  <c r="L2" i="3" a="1"/>
  <c r="U2" i="3" a="1"/>
  <c r="AF53" i="1" a="1"/>
  <c r="BI53" i="1" a="1"/>
  <c r="DK2" i="3" a="1"/>
  <c r="K2" i="3" a="1"/>
  <c r="CG53" i="1" a="1"/>
  <c r="AI2" i="3" a="1"/>
  <c r="EF2" i="3" a="1"/>
  <c r="FA53" i="1" a="1"/>
  <c r="BS2" i="3" a="1"/>
  <c r="DP2" i="3" a="1"/>
  <c r="EK2" i="3" a="1"/>
  <c r="FO53" i="1" a="1"/>
  <c r="BR2" i="3" a="1"/>
  <c r="DA2" i="3" a="1"/>
  <c r="DX2" i="3" a="1"/>
  <c r="U53" i="1" a="1"/>
  <c r="BG53" i="1" a="1"/>
  <c r="DU53" i="1" a="1"/>
  <c r="DY2" i="3" a="1"/>
  <c r="Q2" i="3" a="1"/>
  <c r="CY53" i="1" a="1"/>
  <c r="DQ2" i="3" a="1"/>
  <c r="R2" i="3" a="1"/>
  <c r="CD53" i="1" a="1"/>
  <c r="EV53" i="1" a="1"/>
  <c r="BV2" i="3" a="1"/>
  <c r="AJ2" i="3" a="1"/>
  <c r="AA53" i="1" a="1"/>
  <c r="AK2" i="3" a="1"/>
  <c r="BC2" i="3" a="1"/>
  <c r="CW53" i="1" a="1"/>
  <c r="H53" i="1" a="1"/>
  <c r="AR2" i="3" a="1"/>
  <c r="FH53" i="1" a="1"/>
  <c r="BK2" i="3" a="1"/>
  <c r="Z2" i="3" a="1"/>
  <c r="J53" i="1" a="1"/>
  <c r="P2" i="3" a="1"/>
  <c r="O2" i="3" a="1"/>
  <c r="DS2" i="3" a="1"/>
  <c r="BU2" i="3" a="1"/>
  <c r="ED53" i="1" a="1"/>
  <c r="F53" i="1" a="1"/>
  <c r="CA2" i="3" a="1"/>
  <c r="EL2" i="3" a="1"/>
  <c r="AR53" i="1" a="1"/>
  <c r="DZ2" i="3" a="1"/>
  <c r="W2" i="3" a="1"/>
  <c r="DM2" i="3" a="1"/>
  <c r="DZ53" i="1" a="1"/>
  <c r="CK53" i="1" a="1"/>
  <c r="DG2" i="3" a="1"/>
  <c r="C2" i="3" a="1"/>
  <c r="EN53" i="1" a="1"/>
  <c r="CQ53" i="1" a="1"/>
  <c r="DG53" i="1" a="1"/>
  <c r="K53" i="1" a="1"/>
  <c r="W53" i="1" a="1"/>
  <c r="DW2" i="3" a="1"/>
  <c r="BK53" i="1" a="1"/>
  <c r="AD53" i="1" a="1"/>
  <c r="EB2" i="3" a="1"/>
  <c r="I53" i="1" a="1"/>
  <c r="FG53" i="1" a="1"/>
  <c r="EW53" i="1" a="1"/>
  <c r="DJ2" i="3" a="1"/>
  <c r="FB53" i="1" a="1"/>
  <c r="BR53" i="1" a="1"/>
  <c r="FM53" i="1" a="1"/>
  <c r="DI2" i="3" a="1"/>
  <c r="BA2" i="3" a="1"/>
  <c r="BM2" i="3" a="1"/>
  <c r="EA53" i="1" a="1"/>
  <c r="BY53" i="1" a="1"/>
  <c r="DL53" i="1" a="1"/>
  <c r="CG2" i="3" a="1"/>
  <c r="AX2" i="3" a="1"/>
  <c r="H2" i="3" a="1"/>
  <c r="AY53" i="1" a="1"/>
  <c r="Y2" i="3" a="1"/>
  <c r="D2" i="3" a="1"/>
  <c r="BT2" i="3" a="1"/>
  <c r="CK2" i="3" a="1"/>
  <c r="CU2" i="3" a="1"/>
  <c r="EA2" i="3" a="1"/>
  <c r="EF53" i="1" a="1"/>
  <c r="DS53" i="1" a="1"/>
  <c r="T2" i="3" a="1"/>
  <c r="EQ53" i="1" a="1"/>
  <c r="AV2" i="3" a="1"/>
  <c r="AS53" i="1" a="1"/>
  <c r="R53" i="1" a="1"/>
  <c r="AM53" i="1" a="1"/>
  <c r="CI2" i="3" a="1"/>
  <c r="DJ53" i="1" a="1"/>
  <c r="AN53" i="1" a="1"/>
  <c r="BZ2" i="3" a="1"/>
  <c r="ES53" i="1" a="1"/>
  <c r="AE2" i="3" a="1"/>
  <c r="AS2" i="3" a="1"/>
  <c r="DK53" i="1" a="1"/>
  <c r="M53" i="1" a="1"/>
  <c r="AL2" i="3" a="1"/>
  <c r="DD53" i="1" a="1"/>
  <c r="AA2" i="3" a="1"/>
  <c r="T53" i="1" a="1"/>
  <c r="BX53" i="1" a="1"/>
  <c r="AG2" i="3" a="1"/>
  <c r="EL53" i="1" a="1"/>
  <c r="CR53" i="1" a="1"/>
  <c r="BY2" i="3" a="1"/>
  <c r="BY2" i="3" l="1"/>
  <c r="CR53" i="1"/>
  <c r="EL53" i="1"/>
  <c r="AG2" i="3"/>
  <c r="BX53" i="1"/>
  <c r="T53" i="1"/>
  <c r="AA2" i="3"/>
  <c r="DD53" i="1"/>
  <c r="DD54" i="1" s="1"/>
  <c r="AL2" i="3"/>
  <c r="M53" i="1"/>
  <c r="DK53" i="1"/>
  <c r="DK54" i="1" s="1"/>
  <c r="AS2" i="3"/>
  <c r="AE2" i="3"/>
  <c r="ES53" i="1"/>
  <c r="ES54" i="1" s="1"/>
  <c r="BZ2" i="3"/>
  <c r="AN53" i="1"/>
  <c r="DJ53" i="1"/>
  <c r="DJ54" i="1" s="1"/>
  <c r="CI2" i="3"/>
  <c r="AM53" i="1"/>
  <c r="R53" i="1"/>
  <c r="AS53" i="1"/>
  <c r="AV2" i="3"/>
  <c r="EQ53" i="1"/>
  <c r="T2" i="3"/>
  <c r="DS53" i="1"/>
  <c r="EF53" i="1"/>
  <c r="EF54" i="1" s="1"/>
  <c r="EA2" i="3"/>
  <c r="CU2" i="3"/>
  <c r="CK2" i="3"/>
  <c r="BT2" i="3"/>
  <c r="D2" i="3"/>
  <c r="Y2" i="3"/>
  <c r="AY53" i="1"/>
  <c r="H2" i="3"/>
  <c r="AX2" i="3"/>
  <c r="CG2" i="3"/>
  <c r="DL53" i="1"/>
  <c r="BY53" i="1"/>
  <c r="EA53" i="1"/>
  <c r="BM2" i="3"/>
  <c r="BA2" i="3"/>
  <c r="DI2" i="3"/>
  <c r="FM53" i="1"/>
  <c r="BR53" i="1"/>
  <c r="FB53" i="1"/>
  <c r="DJ2" i="3"/>
  <c r="EW53" i="1"/>
  <c r="FG53" i="1"/>
  <c r="I53" i="1"/>
  <c r="EB2" i="3"/>
  <c r="AD53" i="1"/>
  <c r="BK53" i="1"/>
  <c r="BK54" i="1" s="1"/>
  <c r="DW2" i="3"/>
  <c r="W53" i="1"/>
  <c r="K53" i="1"/>
  <c r="DG53" i="1"/>
  <c r="CQ53" i="1"/>
  <c r="CQ54" i="1" s="1"/>
  <c r="EN53" i="1"/>
  <c r="C2" i="3"/>
  <c r="DG2" i="3"/>
  <c r="CK53" i="1"/>
  <c r="CK54" i="1" s="1"/>
  <c r="DZ53" i="1"/>
  <c r="DM2" i="3"/>
  <c r="W2" i="3"/>
  <c r="DZ2" i="3"/>
  <c r="AR53" i="1"/>
  <c r="EL2" i="3"/>
  <c r="CA2" i="3"/>
  <c r="F53" i="1"/>
  <c r="ED53" i="1"/>
  <c r="ED54" i="1" s="1"/>
  <c r="BU2" i="3"/>
  <c r="DS2" i="3"/>
  <c r="O2" i="3"/>
  <c r="P2" i="3"/>
  <c r="J53" i="1"/>
  <c r="Z2" i="3"/>
  <c r="BK2" i="3"/>
  <c r="FH53" i="1"/>
  <c r="AR2" i="3"/>
  <c r="H53" i="1"/>
  <c r="CW53" i="1"/>
  <c r="CW54" i="1" s="1"/>
  <c r="BC2" i="3"/>
  <c r="AK2" i="3"/>
  <c r="AA53" i="1"/>
  <c r="AJ2" i="3"/>
  <c r="BV2" i="3"/>
  <c r="EV53" i="1"/>
  <c r="CD53" i="1"/>
  <c r="R2" i="3"/>
  <c r="DQ2" i="3"/>
  <c r="CY53" i="1"/>
  <c r="CY54" i="1" s="1"/>
  <c r="Q2" i="3"/>
  <c r="DY2" i="3"/>
  <c r="DU53" i="1"/>
  <c r="BG53" i="1"/>
  <c r="U53" i="1"/>
  <c r="DX2" i="3"/>
  <c r="DA2" i="3"/>
  <c r="BR2" i="3"/>
  <c r="FO53" i="1"/>
  <c r="EK2" i="3"/>
  <c r="DP2" i="3"/>
  <c r="BS2" i="3"/>
  <c r="FA53" i="1"/>
  <c r="EF2" i="3"/>
  <c r="AI2" i="3"/>
  <c r="CG53" i="1"/>
  <c r="K2" i="3"/>
  <c r="DK2" i="3"/>
  <c r="BI53" i="1"/>
  <c r="BI54" i="1" s="1"/>
  <c r="AF53" i="1"/>
  <c r="U2" i="3"/>
  <c r="L2" i="3"/>
  <c r="EH53" i="1"/>
  <c r="CP2" i="3"/>
  <c r="DY53" i="1"/>
  <c r="DY54" i="1" s="1"/>
  <c r="AW53" i="1"/>
  <c r="DF53" i="1"/>
  <c r="CS2" i="3"/>
  <c r="EI53" i="1"/>
  <c r="BS53" i="1"/>
  <c r="DM53" i="1"/>
  <c r="BH2" i="3"/>
  <c r="BM53" i="1"/>
  <c r="DU2" i="3"/>
  <c r="FC53" i="1"/>
  <c r="CX2" i="3"/>
  <c r="AK53" i="1"/>
  <c r="DT53" i="1"/>
  <c r="AI53" i="1"/>
  <c r="EE2" i="3"/>
  <c r="DT2" i="3"/>
  <c r="BD2" i="3"/>
  <c r="FI53" i="1"/>
  <c r="AJ53" i="1"/>
  <c r="CZ2" i="3"/>
  <c r="BV53" i="1"/>
  <c r="BU53" i="1"/>
  <c r="CE53" i="1"/>
  <c r="V2" i="3"/>
  <c r="E53" i="1"/>
  <c r="DE2" i="3"/>
  <c r="BF53" i="1"/>
  <c r="BF54" i="1" s="1"/>
  <c r="CF2" i="3"/>
  <c r="EN2" i="3"/>
  <c r="DA53" i="1"/>
  <c r="EO2" i="3"/>
  <c r="BL2" i="3"/>
  <c r="CB2" i="3"/>
  <c r="DR53" i="1"/>
  <c r="CQ2" i="3"/>
  <c r="P53" i="1"/>
  <c r="CO2" i="3"/>
  <c r="ER53" i="1"/>
  <c r="BI2" i="3"/>
  <c r="S2" i="3"/>
  <c r="BJ53" i="1"/>
  <c r="BJ54" i="1" s="1"/>
  <c r="BQ2" i="3"/>
  <c r="BT53" i="1"/>
  <c r="CR2" i="3"/>
  <c r="FL53" i="1"/>
  <c r="FD53" i="1"/>
  <c r="EB53" i="1"/>
  <c r="EB54" i="1" s="1"/>
  <c r="DO2" i="3"/>
  <c r="EE53" i="1"/>
  <c r="Q53" i="1"/>
  <c r="BB2" i="3"/>
  <c r="DC53" i="1"/>
  <c r="BW53" i="1"/>
  <c r="BW54" i="1" s="1"/>
  <c r="EC2" i="3"/>
  <c r="BE53" i="1"/>
  <c r="BE54" i="1" s="1"/>
  <c r="DX53" i="1"/>
  <c r="DF2" i="3"/>
  <c r="CE2" i="3"/>
  <c r="AQ2" i="3"/>
  <c r="AG53" i="1"/>
  <c r="DN53" i="1"/>
  <c r="EO53" i="1"/>
  <c r="CX53" i="1"/>
  <c r="AB53" i="1"/>
  <c r="AD2" i="3"/>
  <c r="AT53" i="1"/>
  <c r="BO53" i="1"/>
  <c r="DB2" i="3"/>
  <c r="DV2" i="3"/>
  <c r="EK53" i="1"/>
  <c r="CT2" i="3"/>
  <c r="DC2" i="3"/>
  <c r="BX2" i="3"/>
  <c r="Z53" i="1"/>
  <c r="EM2" i="3"/>
  <c r="AZ53" i="1"/>
  <c r="EH2" i="3"/>
  <c r="E2" i="3"/>
  <c r="X53" i="1"/>
  <c r="BD53" i="1"/>
  <c r="DW53" i="1"/>
  <c r="X2" i="3"/>
  <c r="AO53" i="1"/>
  <c r="F2" i="3"/>
  <c r="DL2" i="3"/>
  <c r="BW2" i="3"/>
  <c r="EZ53" i="1"/>
  <c r="BC53" i="1"/>
  <c r="CI53" i="1"/>
  <c r="CI54" i="1" s="1"/>
  <c r="AM2" i="3"/>
  <c r="G2" i="3"/>
  <c r="FJ53" i="1"/>
  <c r="ET53" i="1"/>
  <c r="ET54" i="1" s="1"/>
  <c r="BL53" i="1"/>
  <c r="AU2" i="3"/>
  <c r="FN53" i="1"/>
  <c r="EX53" i="1"/>
  <c r="AW2" i="3"/>
  <c r="CD2" i="3"/>
  <c r="BA53" i="1"/>
  <c r="AP2" i="3"/>
  <c r="D53" i="1"/>
  <c r="D54" i="1" s="1"/>
  <c r="CS53" i="1"/>
  <c r="CS54" i="1" s="1"/>
  <c r="CF53" i="1"/>
  <c r="EI2" i="3"/>
  <c r="FP53" i="1"/>
  <c r="AQ53" i="1"/>
  <c r="BP2" i="3"/>
  <c r="AY2" i="3"/>
  <c r="EC53" i="1"/>
  <c r="EC54" i="1" s="1"/>
  <c r="EP53" i="1"/>
  <c r="DH2" i="3"/>
  <c r="CV53" i="1"/>
  <c r="CV54" i="1" s="1"/>
  <c r="CB53" i="1"/>
  <c r="CB54" i="1" s="1"/>
  <c r="BP53" i="1"/>
  <c r="BP54" i="1" s="1"/>
  <c r="EJ2" i="3"/>
  <c r="C53" i="1"/>
  <c r="FF53" i="1"/>
  <c r="EY53" i="1"/>
  <c r="CM53" i="1"/>
  <c r="CM54" i="1" s="1"/>
  <c r="CC2" i="3"/>
  <c r="AV53" i="1"/>
  <c r="CN2" i="3"/>
  <c r="S53" i="1"/>
  <c r="BQ53" i="1"/>
  <c r="O53" i="1"/>
  <c r="BH53" i="1"/>
  <c r="BH54" i="1" s="1"/>
  <c r="N2" i="3"/>
  <c r="FE53" i="1"/>
  <c r="AX53" i="1"/>
  <c r="DE53" i="1"/>
  <c r="DE54" i="1" s="1"/>
  <c r="EG53" i="1"/>
  <c r="EG54" i="1" s="1"/>
  <c r="CN53" i="1"/>
  <c r="DD2" i="3"/>
  <c r="EG2" i="3"/>
  <c r="AE53" i="1"/>
  <c r="CL2" i="3"/>
  <c r="DO53" i="1"/>
  <c r="DO54" i="1" s="1"/>
  <c r="BB53" i="1"/>
  <c r="AH2" i="3"/>
  <c r="BZ53" i="1"/>
  <c r="CT53" i="1"/>
  <c r="CT54" i="1" s="1"/>
  <c r="BN2" i="3"/>
  <c r="FK53" i="1"/>
  <c r="EP2" i="3"/>
  <c r="AC53" i="1"/>
  <c r="L53" i="1"/>
  <c r="DV53" i="1"/>
  <c r="DP53" i="1"/>
  <c r="DP54" i="1" s="1"/>
  <c r="AH53" i="1"/>
  <c r="EM53" i="1"/>
  <c r="EM54" i="1" s="1"/>
  <c r="AT2" i="3"/>
  <c r="DR2" i="3"/>
  <c r="Y53" i="1"/>
  <c r="AC2" i="3"/>
  <c r="BE2" i="3"/>
  <c r="AO2" i="3"/>
  <c r="DB53" i="1"/>
  <c r="DB54" i="1" s="1"/>
  <c r="CW2" i="3"/>
  <c r="CO53" i="1"/>
  <c r="CO54" i="1" s="1"/>
  <c r="CH53" i="1"/>
  <c r="EU53" i="1"/>
  <c r="AB2" i="3"/>
  <c r="CZ53" i="1"/>
  <c r="CA53" i="1"/>
  <c r="DQ53" i="1"/>
  <c r="CY2" i="3"/>
  <c r="AU53" i="1"/>
  <c r="AU54" i="1" s="1"/>
  <c r="BJ2" i="3"/>
  <c r="CJ53" i="1"/>
  <c r="EJ53" i="1"/>
  <c r="EJ54" i="1" s="1"/>
  <c r="CM2" i="3"/>
  <c r="DN2" i="3"/>
  <c r="V53" i="1"/>
  <c r="N53" i="1"/>
  <c r="AN2" i="3"/>
  <c r="BF2" i="3"/>
  <c r="G53" i="1"/>
  <c r="M2" i="3"/>
  <c r="CC53" i="1"/>
  <c r="CC54" i="1" s="1"/>
  <c r="AF2" i="3"/>
  <c r="DH53" i="1"/>
  <c r="AP53" i="1"/>
  <c r="CL53" i="1"/>
  <c r="CU53" i="1"/>
  <c r="CU54" i="1" s="1"/>
  <c r="CH2" i="3"/>
  <c r="CJ2" i="3"/>
  <c r="AL53" i="1"/>
  <c r="CV2" i="3"/>
  <c r="DI53" i="1"/>
  <c r="DI54" i="1" s="1"/>
  <c r="CP53" i="1"/>
  <c r="ED2" i="3"/>
  <c r="BN53" i="1"/>
  <c r="ER54" i="1"/>
  <c r="EO52" i="1"/>
  <c r="EQ54" i="1"/>
  <c r="EP52" i="1"/>
  <c r="EP54" i="1" s="1"/>
  <c r="EL52" i="1"/>
  <c r="EN52" i="1"/>
  <c r="F36" i="1"/>
  <c r="AB36" i="1"/>
  <c r="AI36" i="1"/>
  <c r="AP36" i="1"/>
  <c r="AQ36" i="1"/>
  <c r="U36" i="1"/>
  <c r="S36" i="1"/>
  <c r="AI30" i="1"/>
  <c r="AQ30" i="1"/>
  <c r="AR30" i="1"/>
  <c r="AX30" i="1"/>
  <c r="AY30" i="1"/>
  <c r="Y30" i="1"/>
  <c r="W30" i="1"/>
  <c r="U30" i="1"/>
  <c r="S30" i="1"/>
  <c r="M30" i="1"/>
  <c r="E30" i="1"/>
  <c r="O30" i="1"/>
  <c r="K30" i="1"/>
  <c r="I30" i="1"/>
  <c r="T35" i="1"/>
  <c r="S35" i="1"/>
  <c r="AJ35" i="1"/>
  <c r="Y35" i="1"/>
  <c r="BA35" i="1"/>
  <c r="M35" i="1"/>
  <c r="BR3" i="1"/>
  <c r="AW3" i="1"/>
  <c r="C26" i="1"/>
  <c r="EN54" i="1" l="1"/>
  <c r="EO54" i="1"/>
  <c r="AR52" i="1"/>
  <c r="AR54" i="1" s="1"/>
  <c r="Y29" i="1"/>
  <c r="BD29" i="1"/>
  <c r="BO29" i="1"/>
  <c r="CD29" i="1"/>
  <c r="DH29" i="1"/>
  <c r="DT29" i="1"/>
  <c r="CA29" i="1"/>
  <c r="Z29" i="1"/>
  <c r="I29" i="1"/>
  <c r="O29" i="1"/>
  <c r="L29" i="1"/>
  <c r="K29" i="1"/>
  <c r="G29" i="1"/>
  <c r="O38" i="1"/>
  <c r="BU10" i="1"/>
  <c r="DN23" i="1"/>
  <c r="CA23" i="1"/>
  <c r="DL23" i="1"/>
  <c r="DT23" i="1"/>
  <c r="O23" i="1"/>
  <c r="DZ8" i="1"/>
  <c r="AE11" i="1"/>
  <c r="AL21" i="1"/>
  <c r="CA21" i="1"/>
  <c r="Y21" i="1"/>
  <c r="W21" i="1"/>
  <c r="O21" i="1"/>
  <c r="CA19" i="1"/>
  <c r="CD19" i="1"/>
  <c r="DN12" i="1"/>
  <c r="BY28" i="1"/>
  <c r="DF28" i="1"/>
  <c r="CA28" i="1"/>
  <c r="AI28" i="1"/>
  <c r="AB28" i="1"/>
  <c r="Y28" i="1"/>
  <c r="T28" i="1"/>
  <c r="S28" i="1"/>
  <c r="C28" i="1"/>
  <c r="BO12" i="1"/>
  <c r="BZ12" i="1"/>
  <c r="CA18" i="1"/>
  <c r="CA27" i="1"/>
  <c r="Y27" i="1"/>
  <c r="W27" i="1"/>
  <c r="O27" i="1"/>
  <c r="CA5" i="1"/>
  <c r="CG5" i="1"/>
  <c r="O5" i="1"/>
  <c r="CA34" i="1"/>
  <c r="DW34" i="1"/>
  <c r="CZ26" i="1"/>
  <c r="CX26" i="1"/>
  <c r="CD26" i="1"/>
  <c r="CA26" i="1"/>
  <c r="Y26" i="1"/>
  <c r="X26" i="1"/>
  <c r="EK26" i="1"/>
  <c r="EH26" i="1"/>
  <c r="V26" i="1"/>
  <c r="BV26" i="1"/>
  <c r="O26" i="1"/>
  <c r="F26" i="1"/>
  <c r="E26" i="1"/>
  <c r="U9" i="1"/>
  <c r="DT52" i="1" l="1"/>
  <c r="DT54" i="1" s="1"/>
  <c r="EL54" i="1"/>
  <c r="EK52" i="1"/>
  <c r="EK54" i="1" s="1"/>
  <c r="EA54" i="1"/>
  <c r="DZ52" i="1"/>
  <c r="DZ54" i="1" s="1"/>
  <c r="EI54" i="1"/>
  <c r="EH52" i="1"/>
  <c r="EH54" i="1" s="1"/>
  <c r="DW52" i="1"/>
  <c r="DW54" i="1" s="1"/>
  <c r="DN52" i="1"/>
  <c r="DN54" i="1" s="1"/>
  <c r="CX52" i="1"/>
  <c r="CX54" i="1" s="1"/>
  <c r="BD52" i="1"/>
  <c r="BD54" i="1" s="1"/>
  <c r="V52" i="1"/>
  <c r="V54" i="1" s="1"/>
  <c r="CZ52" i="1"/>
  <c r="CZ54" i="1" s="1"/>
  <c r="CG52" i="1"/>
  <c r="CG54" i="1" s="1"/>
  <c r="EE54" i="1"/>
  <c r="CD31" i="1"/>
  <c r="CH31" i="1"/>
  <c r="BZ31" i="1"/>
  <c r="CA31" i="1"/>
  <c r="AJ31" i="1"/>
  <c r="Y31" i="1"/>
  <c r="W31" i="1"/>
  <c r="R31" i="1"/>
  <c r="P31" i="1"/>
  <c r="O31" i="1"/>
  <c r="L31" i="1"/>
  <c r="K31" i="1"/>
  <c r="E31" i="1"/>
  <c r="I31" i="1"/>
  <c r="C31" i="1"/>
  <c r="Y32" i="1"/>
  <c r="CD32" i="1"/>
  <c r="CA32" i="1"/>
  <c r="BR32" i="1"/>
  <c r="C32" i="1"/>
  <c r="O32" i="1"/>
  <c r="E32" i="1"/>
  <c r="I32" i="1"/>
  <c r="AW37" i="1" l="1"/>
  <c r="AE37" i="1"/>
  <c r="AH37" i="1"/>
  <c r="BR37" i="1"/>
  <c r="AW21" i="1"/>
  <c r="AW9" i="1"/>
  <c r="AE13" i="1"/>
  <c r="CH24" i="1" l="1"/>
  <c r="AW36" i="1" l="1"/>
  <c r="AE36" i="1"/>
  <c r="Z36" i="1"/>
  <c r="X36" i="1"/>
  <c r="W36" i="1"/>
  <c r="AJ30" i="1"/>
  <c r="AK30" i="1"/>
  <c r="AW30" i="1"/>
  <c r="AG30" i="1"/>
  <c r="AD30" i="1"/>
  <c r="AA30" i="1"/>
  <c r="X30" i="1"/>
  <c r="AK35" i="1"/>
  <c r="AD35" i="1"/>
  <c r="AE35" i="1"/>
  <c r="Z35" i="1"/>
  <c r="X35" i="1"/>
  <c r="W35" i="1"/>
  <c r="W18" i="1"/>
  <c r="AJ38" i="1"/>
  <c r="AH38" i="1"/>
  <c r="Z38" i="1"/>
  <c r="W38" i="1"/>
  <c r="CL29" i="1"/>
  <c r="BZ29" i="1"/>
  <c r="AW29" i="1"/>
  <c r="AJ29" i="1"/>
  <c r="AE30" i="1"/>
  <c r="W29" i="1"/>
  <c r="AQ23" i="1"/>
  <c r="CN23" i="1"/>
  <c r="CL23" i="1"/>
  <c r="AJ23" i="1"/>
  <c r="AH23" i="1"/>
  <c r="AW5" i="1"/>
  <c r="DA27" i="1"/>
  <c r="BZ27" i="1"/>
  <c r="AW27" i="1"/>
  <c r="X27" i="1"/>
  <c r="Z42" i="1"/>
  <c r="W42" i="1"/>
  <c r="AK21" i="1"/>
  <c r="Z21" i="1"/>
  <c r="X21" i="1"/>
  <c r="AJ24" i="1"/>
  <c r="BZ32" i="1"/>
  <c r="CH32" i="1"/>
  <c r="AJ32" i="1"/>
  <c r="W32" i="1"/>
  <c r="CH19" i="1"/>
  <c r="AO33" i="1"/>
  <c r="AW33" i="1"/>
  <c r="AK33" i="1"/>
  <c r="AW7" i="1"/>
  <c r="AJ7" i="1"/>
  <c r="DC28" i="1"/>
  <c r="AO28" i="1"/>
  <c r="AW28" i="1"/>
  <c r="AQ28" i="1"/>
  <c r="AK28" i="1"/>
  <c r="AG28" i="1"/>
  <c r="Z28" i="1"/>
  <c r="W28" i="1"/>
  <c r="AW34" i="1"/>
  <c r="BZ26" i="1"/>
  <c r="AJ26" i="1"/>
  <c r="AE26" i="1"/>
  <c r="W26" i="1"/>
  <c r="AQ9" i="1"/>
  <c r="AH9" i="1"/>
  <c r="CL52" i="1" l="1"/>
  <c r="CL54" i="1" s="1"/>
  <c r="DA52" i="1"/>
  <c r="DA54" i="1" s="1"/>
  <c r="R36" i="1"/>
  <c r="R38" i="1"/>
  <c r="R35" i="1"/>
  <c r="R32" i="1"/>
  <c r="R30" i="1"/>
  <c r="R29" i="1"/>
  <c r="R28" i="1"/>
  <c r="R27" i="1"/>
  <c r="R26" i="1"/>
  <c r="R24" i="1"/>
  <c r="R23" i="1"/>
  <c r="R21" i="1"/>
  <c r="R11" i="1"/>
  <c r="R9" i="1"/>
  <c r="P36" i="1" l="1"/>
  <c r="P30" i="1"/>
  <c r="P35" i="1"/>
  <c r="P29" i="1"/>
  <c r="P27" i="1"/>
  <c r="P42" i="1"/>
  <c r="P21" i="1"/>
  <c r="P32" i="1"/>
  <c r="P26" i="1"/>
  <c r="P28" i="1"/>
  <c r="P34" i="1"/>
  <c r="N30" i="1"/>
  <c r="N36" i="1"/>
  <c r="N35" i="1"/>
  <c r="N28" i="1"/>
  <c r="N27" i="1"/>
  <c r="N9" i="1"/>
  <c r="L38" i="1"/>
  <c r="L35" i="1"/>
  <c r="K27" i="1"/>
  <c r="L27" i="1"/>
  <c r="L21" i="1"/>
  <c r="L23" i="1"/>
  <c r="L32" i="1"/>
  <c r="L30" i="1"/>
  <c r="L26" i="1"/>
  <c r="L24" i="1"/>
  <c r="L28" i="1"/>
  <c r="L4" i="1"/>
  <c r="M28" i="1"/>
  <c r="AH36" i="1"/>
  <c r="AH35" i="1"/>
  <c r="K41" i="1"/>
  <c r="K40" i="1"/>
  <c r="K39" i="1"/>
  <c r="K38" i="1"/>
  <c r="K36" i="1"/>
  <c r="K35" i="1"/>
  <c r="K28" i="1"/>
  <c r="K26" i="1"/>
  <c r="K21" i="1"/>
  <c r="K5" i="1"/>
  <c r="AH13" i="1" l="1"/>
  <c r="DR19" i="1" l="1"/>
  <c r="P23" i="1"/>
  <c r="DR52" i="1" l="1"/>
  <c r="DR54" i="1" s="1"/>
  <c r="BY18" i="1"/>
  <c r="BV18" i="1"/>
  <c r="BQ18" i="1"/>
  <c r="BA18" i="1"/>
  <c r="AY18" i="1"/>
  <c r="AX18" i="1"/>
  <c r="AW18" i="1"/>
  <c r="AQ18" i="1"/>
  <c r="AL18" i="1"/>
  <c r="AJ18" i="1"/>
  <c r="AI18" i="1"/>
  <c r="AH18" i="1"/>
  <c r="AG18" i="1"/>
  <c r="AE18" i="1"/>
  <c r="AB18" i="1"/>
  <c r="AA18" i="1"/>
  <c r="Z18" i="1"/>
  <c r="Y18" i="1"/>
  <c r="X18" i="1"/>
  <c r="U18" i="1"/>
  <c r="S18" i="1"/>
  <c r="R18" i="1"/>
  <c r="Q18" i="1"/>
  <c r="P18" i="1"/>
  <c r="O18" i="1"/>
  <c r="N18" i="1"/>
  <c r="K18" i="1"/>
  <c r="J18" i="1"/>
  <c r="G18" i="1"/>
  <c r="BA52" i="1" l="1"/>
  <c r="BA54" i="1" s="1"/>
  <c r="BQ52" i="1"/>
  <c r="BQ54" i="1" s="1"/>
  <c r="AQ34" i="1"/>
  <c r="DU34" i="1"/>
  <c r="W34" i="1"/>
  <c r="Y34" i="1"/>
  <c r="X34" i="1"/>
  <c r="BZ34" i="1"/>
  <c r="CD34" i="1"/>
  <c r="Z34" i="1"/>
  <c r="AB34" i="1"/>
  <c r="AK34" i="1"/>
  <c r="AE34" i="1"/>
  <c r="CP34" i="1"/>
  <c r="R34" i="1"/>
  <c r="O34" i="1"/>
  <c r="DF34" i="1"/>
  <c r="N34" i="1"/>
  <c r="K34" i="1"/>
  <c r="L34" i="1"/>
  <c r="AH34" i="1"/>
  <c r="BR34" i="1"/>
  <c r="DU7" i="1"/>
  <c r="AQ33" i="1"/>
  <c r="DU33" i="1"/>
  <c r="W33" i="1"/>
  <c r="Z33" i="1"/>
  <c r="CA33" i="1"/>
  <c r="X33" i="1"/>
  <c r="Y33" i="1"/>
  <c r="DC33" i="1"/>
  <c r="BS33" i="1"/>
  <c r="BR33" i="1"/>
  <c r="AJ33" i="1"/>
  <c r="AI33" i="1"/>
  <c r="AH33" i="1"/>
  <c r="AG33" i="1"/>
  <c r="AE33" i="1"/>
  <c r="AB33" i="1"/>
  <c r="DU52" i="1" l="1"/>
  <c r="DU54" i="1" s="1"/>
  <c r="DC52" i="1"/>
  <c r="DC54" i="1" s="1"/>
  <c r="DV54" i="1"/>
  <c r="R33" i="1"/>
  <c r="T33" i="1"/>
  <c r="S33" i="1"/>
  <c r="DG33" i="1"/>
  <c r="DF33" i="1"/>
  <c r="BY33" i="1"/>
  <c r="G33" i="1"/>
  <c r="C33" i="1"/>
  <c r="K33" i="1"/>
  <c r="O33" i="1"/>
  <c r="P33" i="1"/>
  <c r="N33" i="1"/>
  <c r="L33" i="1"/>
  <c r="BY52" i="1" l="1"/>
  <c r="BY54" i="1" s="1"/>
  <c r="DF52" i="1"/>
  <c r="DF54" i="1" s="1"/>
  <c r="DG52" i="1"/>
  <c r="DG54" i="1" s="1"/>
  <c r="DM13" i="1"/>
  <c r="DM52" i="1" l="1"/>
  <c r="DM54" i="1" s="1"/>
  <c r="CJ21" i="1"/>
  <c r="AP21" i="1"/>
  <c r="AJ21" i="1"/>
  <c r="AH21" i="1"/>
  <c r="AE21" i="1"/>
  <c r="AD21" i="1"/>
  <c r="T21" i="1"/>
  <c r="S21" i="1"/>
  <c r="N21" i="1"/>
  <c r="J21" i="1"/>
  <c r="CJ52" i="1" l="1"/>
  <c r="CJ54" i="1" s="1"/>
  <c r="DL24" i="1"/>
  <c r="C24" i="1"/>
  <c r="DL52" i="1" l="1"/>
  <c r="DL54" i="1" s="1"/>
  <c r="C22" i="1"/>
  <c r="AZ20" i="1" l="1"/>
  <c r="L20" i="1"/>
  <c r="I20" i="1"/>
  <c r="L19" i="1"/>
  <c r="I19" i="1"/>
  <c r="F17" i="1"/>
  <c r="BO16" i="1"/>
  <c r="AA16" i="1"/>
  <c r="R16" i="1"/>
  <c r="F16" i="1"/>
  <c r="P16" i="1"/>
  <c r="L16" i="1"/>
  <c r="AC13" i="1" l="1"/>
  <c r="DH12" i="1"/>
  <c r="Y12" i="1"/>
  <c r="CA12" i="1"/>
  <c r="CD12" i="1"/>
  <c r="BR12" i="1"/>
  <c r="AJ12" i="1"/>
  <c r="AB12" i="1"/>
  <c r="W12" i="1"/>
  <c r="R12" i="1"/>
  <c r="I12" i="1"/>
  <c r="G12" i="1"/>
  <c r="C12" i="1"/>
  <c r="P12" i="1"/>
  <c r="O12" i="1"/>
  <c r="L12" i="1"/>
  <c r="K12" i="1"/>
  <c r="F12" i="1"/>
  <c r="CF11" i="1"/>
  <c r="BR22" i="1"/>
  <c r="AW11" i="1"/>
  <c r="K11" i="1"/>
  <c r="AB9" i="1"/>
  <c r="AA9" i="1"/>
  <c r="W9" i="1"/>
  <c r="X9" i="1"/>
  <c r="Z9" i="1"/>
  <c r="G9" i="1"/>
  <c r="Q9" i="1"/>
  <c r="Q52" i="1" s="1"/>
  <c r="P9" i="1"/>
  <c r="O9" i="1"/>
  <c r="K9" i="1"/>
  <c r="R8" i="1"/>
  <c r="N8" i="1"/>
  <c r="Y7" i="1"/>
  <c r="BR7" i="1"/>
  <c r="CA7" i="1"/>
  <c r="Z7" i="1"/>
  <c r="X7" i="1"/>
  <c r="R7" i="1"/>
  <c r="P7" i="1"/>
  <c r="O7" i="1"/>
  <c r="BR5" i="1"/>
  <c r="Z5" i="1"/>
  <c r="R5" i="1"/>
  <c r="P5" i="1"/>
  <c r="L5" i="1"/>
  <c r="F5" i="1"/>
  <c r="C5" i="1"/>
  <c r="Y4" i="1"/>
  <c r="K3" i="1"/>
  <c r="G3" i="1"/>
  <c r="DH52" i="1" l="1"/>
  <c r="DH54" i="1" s="1"/>
  <c r="AC52" i="1"/>
  <c r="AC54" i="1" s="1"/>
  <c r="AW32" i="1"/>
  <c r="Z32" i="1"/>
  <c r="AH32" i="1"/>
  <c r="Z31" i="1"/>
  <c r="AH31" i="1"/>
  <c r="BR31" i="1"/>
  <c r="AQ29" i="1"/>
  <c r="Z30" i="1" l="1"/>
  <c r="AH30" i="1"/>
  <c r="CE3" i="1" l="1"/>
  <c r="CR26" i="1"/>
  <c r="CP26" i="1"/>
  <c r="CN24" i="1"/>
  <c r="CH22" i="1"/>
  <c r="CD5" i="1"/>
  <c r="CD22" i="1"/>
  <c r="CD23" i="1"/>
  <c r="CD27" i="1"/>
  <c r="CA24" i="1"/>
  <c r="BZ22" i="1"/>
  <c r="BZ23" i="1"/>
  <c r="BZ24" i="1"/>
  <c r="BU26" i="1"/>
  <c r="BS28" i="1"/>
  <c r="CD52" i="1" l="1"/>
  <c r="CD54" i="1" s="1"/>
  <c r="BS52" i="1"/>
  <c r="BS54" i="1" s="1"/>
  <c r="CP52" i="1"/>
  <c r="CP54" i="1" s="1"/>
  <c r="CR52" i="1"/>
  <c r="CR54" i="1" s="1"/>
  <c r="CN52" i="1"/>
  <c r="CN54" i="1" s="1"/>
  <c r="BU52" i="1"/>
  <c r="BU54" i="1" s="1"/>
  <c r="CA52" i="1"/>
  <c r="CA54" i="1" s="1"/>
  <c r="CH52" i="1"/>
  <c r="CH54" i="1" s="1"/>
  <c r="BR26" i="1"/>
  <c r="BR29" i="1"/>
  <c r="BR28" i="1"/>
  <c r="BR27" i="1"/>
  <c r="BR23" i="1"/>
  <c r="BR13" i="1"/>
  <c r="AY26" i="1"/>
  <c r="AW26" i="1"/>
  <c r="AW24" i="1"/>
  <c r="AW23" i="1"/>
  <c r="AW22" i="1"/>
  <c r="AW13" i="1"/>
  <c r="AJ28" i="1"/>
  <c r="AJ27" i="1"/>
  <c r="AJ22" i="1"/>
  <c r="AJ13" i="1"/>
  <c r="AH22" i="1"/>
  <c r="AH24" i="1"/>
  <c r="AH26" i="1"/>
  <c r="AH27" i="1"/>
  <c r="AH28" i="1"/>
  <c r="AH29" i="1"/>
  <c r="AE28" i="1"/>
  <c r="AE27" i="1"/>
  <c r="Z27" i="1"/>
  <c r="Z26" i="1"/>
  <c r="Z24" i="1"/>
  <c r="Z23" i="1"/>
  <c r="Z22" i="1"/>
  <c r="Z13" i="1"/>
  <c r="Y24" i="1"/>
  <c r="Y23" i="1"/>
  <c r="Y22" i="1"/>
  <c r="Y13" i="1"/>
  <c r="X28" i="1"/>
  <c r="W24" i="1"/>
  <c r="W23" i="1"/>
  <c r="W22" i="1"/>
  <c r="W13" i="1"/>
  <c r="R22" i="1"/>
  <c r="R13" i="1"/>
  <c r="P24" i="1"/>
  <c r="P22" i="1"/>
  <c r="P13" i="1"/>
  <c r="O28" i="1"/>
  <c r="O24" i="1"/>
  <c r="O22" i="1"/>
  <c r="O13" i="1"/>
  <c r="N26" i="1"/>
  <c r="M3" i="1"/>
  <c r="L13" i="1"/>
  <c r="L18" i="1"/>
  <c r="I24" i="1"/>
  <c r="I23" i="1"/>
  <c r="G28" i="1"/>
  <c r="G27" i="1"/>
  <c r="E22" i="1"/>
  <c r="C29" i="1"/>
  <c r="C52" i="1" s="1"/>
  <c r="DX3" i="1" l="1"/>
  <c r="DX52" i="1" s="1"/>
  <c r="DX54" i="1" s="1"/>
  <c r="C54" i="1"/>
  <c r="CF3" i="1"/>
  <c r="CF7" i="1"/>
  <c r="CF52" i="1" l="1"/>
  <c r="CF54" i="1" s="1"/>
  <c r="CE5" i="1"/>
  <c r="CE52" i="1" l="1"/>
  <c r="CE54" i="1" s="1"/>
  <c r="BZ5" i="1"/>
  <c r="Z3" i="1" l="1"/>
  <c r="P3" i="1"/>
  <c r="L3" i="1"/>
  <c r="H3" i="1"/>
  <c r="H52" i="1" l="1"/>
  <c r="H54" i="1" s="1"/>
  <c r="BZ19" i="1"/>
  <c r="BO20" i="1"/>
  <c r="AJ20" i="1"/>
  <c r="AA20" i="1"/>
  <c r="R20" i="1"/>
  <c r="P20" i="1"/>
  <c r="BR19" i="1"/>
  <c r="AW19" i="1"/>
  <c r="AE19" i="1"/>
  <c r="AJ19" i="1"/>
  <c r="AH19" i="1"/>
  <c r="Z19" i="1"/>
  <c r="Y19" i="1"/>
  <c r="R19" i="1"/>
  <c r="O19" i="1"/>
  <c r="P19" i="1"/>
  <c r="G19" i="1"/>
  <c r="BZ52" i="1" l="1"/>
  <c r="BZ54" i="1" s="1"/>
  <c r="AX11" i="1"/>
  <c r="AK11" i="1"/>
  <c r="AI11" i="1"/>
  <c r="AH11" i="1"/>
  <c r="Y11" i="1"/>
  <c r="X11" i="1"/>
  <c r="W11" i="1"/>
  <c r="T11" i="1"/>
  <c r="S11" i="1"/>
  <c r="M11" i="1"/>
  <c r="L11" i="1"/>
  <c r="P11" i="1"/>
  <c r="AY11" i="1"/>
  <c r="N11" i="1"/>
  <c r="AY52" i="1" l="1"/>
  <c r="AY54" i="1" s="1"/>
  <c r="AX52" i="1"/>
  <c r="AX54" i="1" s="1"/>
  <c r="Z12" i="1"/>
  <c r="AA12" i="1"/>
  <c r="BR10" i="1" l="1"/>
  <c r="BO10" i="1"/>
  <c r="AZ10" i="1"/>
  <c r="AE10" i="1"/>
  <c r="AB10" i="1"/>
  <c r="P10" i="1"/>
  <c r="O10" i="1"/>
  <c r="BR52" i="1" l="1"/>
  <c r="BR54" i="1" s="1"/>
  <c r="BT16" i="1"/>
  <c r="BX15" i="1" l="1"/>
  <c r="BX52" i="1" l="1"/>
  <c r="BX54" i="1" s="1"/>
  <c r="BV15" i="1"/>
  <c r="BB15" i="1"/>
  <c r="Y15" i="1"/>
  <c r="R15" i="1"/>
  <c r="P15" i="1"/>
  <c r="L15" i="1"/>
  <c r="F8" i="1"/>
  <c r="W8" i="1"/>
  <c r="BN15" i="1"/>
  <c r="BB52" i="1" l="1"/>
  <c r="BB54" i="1" s="1"/>
  <c r="BN52" i="1"/>
  <c r="BN54" i="1" s="1"/>
  <c r="BV52" i="1"/>
  <c r="BV54" i="1" s="1"/>
  <c r="BG2" i="1"/>
  <c r="BG2" i="3" a="1"/>
  <c r="BG2" i="3" l="1"/>
  <c r="BO2" i="1"/>
  <c r="AZ2" i="1"/>
  <c r="BO2" i="3" a="1"/>
  <c r="AZ2" i="3" a="1"/>
  <c r="AZ2" i="3" l="1"/>
  <c r="BO2" i="3"/>
  <c r="BO17" i="1"/>
  <c r="BG17" i="1"/>
  <c r="AA17" i="1"/>
  <c r="R17" i="1"/>
  <c r="P17" i="1"/>
  <c r="L17" i="1"/>
  <c r="BG16" i="1"/>
  <c r="BO52" i="1" l="1"/>
  <c r="BO54" i="1" s="1"/>
  <c r="BG15" i="1"/>
  <c r="AW15" i="1"/>
  <c r="AN15" i="1"/>
  <c r="AJ15" i="1"/>
  <c r="AH15" i="1"/>
  <c r="AE15" i="1"/>
  <c r="Z15" i="1"/>
  <c r="X15" i="1"/>
  <c r="W15" i="1"/>
  <c r="S15" i="1"/>
  <c r="O15" i="1"/>
  <c r="K15" i="1"/>
  <c r="AH5" i="1" l="1"/>
  <c r="AF5" i="1"/>
  <c r="AE5" i="1"/>
  <c r="AD5" i="1"/>
  <c r="X5" i="1"/>
  <c r="W5" i="1"/>
  <c r="T5" i="1"/>
  <c r="S5" i="1"/>
  <c r="N5" i="1"/>
  <c r="BC5" i="1"/>
  <c r="AZ5" i="1"/>
  <c r="AZ52" i="1" l="1"/>
  <c r="AZ54" i="1" s="1"/>
  <c r="BC52" i="1"/>
  <c r="BC54" i="1" s="1"/>
  <c r="AT30" i="1"/>
  <c r="AT52" i="1" l="1"/>
  <c r="AT54" i="1" s="1"/>
  <c r="AE3" i="1"/>
  <c r="R3" i="1"/>
  <c r="N3" i="1"/>
  <c r="BG14" i="1" l="1"/>
  <c r="W14" i="1"/>
  <c r="Y14" i="1"/>
  <c r="X14" i="1"/>
  <c r="AK14" i="1"/>
  <c r="AW14" i="1"/>
  <c r="AI14" i="1"/>
  <c r="AE14" i="1"/>
  <c r="T14" i="1"/>
  <c r="S14" i="1"/>
  <c r="R14" i="1"/>
  <c r="M14" i="1"/>
  <c r="L14" i="1"/>
  <c r="P14" i="1"/>
  <c r="N14" i="1"/>
  <c r="BM9" i="1" l="1"/>
  <c r="BL9" i="1"/>
  <c r="AV9" i="1"/>
  <c r="AO9" i="1"/>
  <c r="AI9" i="1"/>
  <c r="AE9" i="1"/>
  <c r="S9" i="1"/>
  <c r="Q54" i="1"/>
  <c r="L9" i="1"/>
  <c r="J9" i="1"/>
  <c r="I9" i="1"/>
  <c r="AV52" i="1" l="1"/>
  <c r="AV54" i="1" s="1"/>
  <c r="BL52" i="1"/>
  <c r="BL54" i="1" s="1"/>
  <c r="BM52" i="1"/>
  <c r="BM54" i="1" s="1"/>
  <c r="BG5" i="1"/>
  <c r="BG13" i="1" l="1"/>
  <c r="BG12" i="1"/>
  <c r="BG11" i="1"/>
  <c r="BG10" i="1"/>
  <c r="BG9" i="1"/>
  <c r="BG8" i="1"/>
  <c r="BG7" i="1"/>
  <c r="BG6" i="1"/>
  <c r="BG4" i="1"/>
  <c r="BG3" i="1"/>
  <c r="BG52" i="1" l="1"/>
  <c r="BG54" i="1" s="1"/>
  <c r="AW12" i="1"/>
  <c r="AH12" i="1"/>
  <c r="AW52" i="1" l="1"/>
  <c r="AW54" i="1" s="1"/>
  <c r="AG8" i="1"/>
  <c r="AG52" i="1" l="1"/>
  <c r="AG54" i="1" s="1"/>
  <c r="AS5" i="1"/>
  <c r="AS52" i="1" l="1"/>
  <c r="AS54" i="1" s="1"/>
  <c r="AQ8" i="1"/>
  <c r="AP7" i="1"/>
  <c r="AP5" i="1"/>
  <c r="AP4" i="1"/>
  <c r="AP3" i="1"/>
  <c r="AO6" i="1"/>
  <c r="AN7" i="1"/>
  <c r="AM3" i="1"/>
  <c r="AL3" i="1"/>
  <c r="AK4" i="1"/>
  <c r="AK3" i="1"/>
  <c r="AJ4" i="1"/>
  <c r="AJ3" i="1"/>
  <c r="AI7" i="1"/>
  <c r="AI4" i="1"/>
  <c r="AI3" i="1"/>
  <c r="AH7" i="1"/>
  <c r="AH4" i="1"/>
  <c r="AH3" i="1"/>
  <c r="AF7" i="1"/>
  <c r="AE7" i="1"/>
  <c r="AE4" i="1"/>
  <c r="AD4" i="1"/>
  <c r="AD3" i="1"/>
  <c r="AB8" i="1"/>
  <c r="AB7" i="1"/>
  <c r="AB52" i="1" s="1"/>
  <c r="AA8" i="1"/>
  <c r="AA6" i="1"/>
  <c r="AJ52" i="1" l="1"/>
  <c r="AJ54" i="1" s="1"/>
  <c r="AE52" i="1"/>
  <c r="AE54" i="1" s="1"/>
  <c r="AO52" i="1"/>
  <c r="AO54" i="1" s="1"/>
  <c r="AL52" i="1"/>
  <c r="AL54" i="1" s="1"/>
  <c r="AP52" i="1"/>
  <c r="AP54" i="1" s="1"/>
  <c r="AQ52" i="1"/>
  <c r="AQ54" i="1" s="1"/>
  <c r="AA52" i="1"/>
  <c r="AA54" i="1" s="1"/>
  <c r="AF52" i="1"/>
  <c r="AF54" i="1" s="1"/>
  <c r="AI52" i="1"/>
  <c r="AI54" i="1" s="1"/>
  <c r="AM52" i="1"/>
  <c r="AM54" i="1" s="1"/>
  <c r="AD52" i="1"/>
  <c r="AD54" i="1" s="1"/>
  <c r="AH52" i="1"/>
  <c r="AH54" i="1" s="1"/>
  <c r="AK52" i="1"/>
  <c r="AK54" i="1" s="1"/>
  <c r="AN52" i="1"/>
  <c r="AN54" i="1" s="1"/>
  <c r="AB54" i="1"/>
  <c r="Z8" i="1"/>
  <c r="Z6" i="1"/>
  <c r="Z4" i="1"/>
  <c r="Y3" i="1"/>
  <c r="X8" i="1"/>
  <c r="X3" i="1"/>
  <c r="W7" i="1"/>
  <c r="W6" i="1"/>
  <c r="W4" i="1"/>
  <c r="W3" i="1"/>
  <c r="U7" i="1"/>
  <c r="T7" i="1"/>
  <c r="T3" i="1"/>
  <c r="S7" i="1"/>
  <c r="S4" i="1"/>
  <c r="S3" i="1"/>
  <c r="W52" i="1" l="1"/>
  <c r="W54" i="1" s="1"/>
  <c r="X52" i="1"/>
  <c r="X54" i="1" s="1"/>
  <c r="Y52" i="1"/>
  <c r="Y54" i="1" s="1"/>
  <c r="S52" i="1"/>
  <c r="S54" i="1" s="1"/>
  <c r="U52" i="1"/>
  <c r="U54" i="1" s="1"/>
  <c r="Z52" i="1"/>
  <c r="Z54" i="1" s="1"/>
  <c r="T52" i="1"/>
  <c r="T54" i="1" s="1"/>
  <c r="R10" i="1"/>
  <c r="R6" i="1"/>
  <c r="R4" i="1"/>
  <c r="P8" i="1"/>
  <c r="P6" i="1"/>
  <c r="P4" i="1"/>
  <c r="O8" i="1"/>
  <c r="O52" i="1" s="1"/>
  <c r="O54" i="1" s="1"/>
  <c r="N4" i="1"/>
  <c r="M4" i="1"/>
  <c r="M52" i="1" s="1"/>
  <c r="L6" i="1"/>
  <c r="K8" i="1"/>
  <c r="K7" i="1"/>
  <c r="K4" i="1"/>
  <c r="J8" i="1"/>
  <c r="J4" i="1"/>
  <c r="I4" i="1"/>
  <c r="I3" i="1"/>
  <c r="G4" i="1"/>
  <c r="G52" i="1" s="1"/>
  <c r="G54" i="1" s="1"/>
  <c r="F4" i="1"/>
  <c r="F3" i="1"/>
  <c r="E8" i="1"/>
  <c r="E52" i="1" s="1"/>
  <c r="E54" i="1" s="1"/>
  <c r="R52" i="1" l="1"/>
  <c r="R54" i="1" s="1"/>
  <c r="F52" i="1"/>
  <c r="F54" i="1" s="1"/>
  <c r="K52" i="1"/>
  <c r="K54" i="1" s="1"/>
  <c r="P52" i="1"/>
  <c r="P54" i="1" s="1"/>
  <c r="L52" i="1"/>
  <c r="L54" i="1" s="1"/>
  <c r="J52" i="1"/>
  <c r="J54" i="1" s="1"/>
  <c r="N52" i="1"/>
  <c r="N54" i="1" s="1"/>
  <c r="I27" i="1"/>
  <c r="M54" i="1"/>
  <c r="I52" i="1" l="1"/>
  <c r="I54" i="1" s="1"/>
  <c r="DQ54" i="1" l="1"/>
  <c r="DS52" i="1"/>
  <c r="DS54" i="1" s="1"/>
  <c r="BT52" i="1" l="1"/>
  <c r="BT5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VRE Montagem</author>
  </authors>
  <commentList>
    <comment ref="BV2" authorId="0" shapeId="0" xr:uid="{12C51893-3613-456F-A830-9A0B6EE0EC23}">
      <text>
        <r>
          <rPr>
            <b/>
            <sz val="9"/>
            <color indexed="81"/>
            <rFont val="Segoe UI"/>
            <family val="2"/>
          </rPr>
          <t>VRE Montagem: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<sst xmlns="http://schemas.openxmlformats.org/spreadsheetml/2006/main" count="310" uniqueCount="214">
  <si>
    <t>QT PROG</t>
  </si>
  <si>
    <t>FALTA</t>
  </si>
  <si>
    <t>1K 0805</t>
  </si>
  <si>
    <t>1R 0805</t>
  </si>
  <si>
    <t>47R 0805</t>
  </si>
  <si>
    <t>10R 0805</t>
  </si>
  <si>
    <t>0R 0805</t>
  </si>
  <si>
    <t>1K2 2512</t>
  </si>
  <si>
    <t>2K2 0805</t>
  </si>
  <si>
    <t>4K7 0805</t>
  </si>
  <si>
    <t>10K 0805</t>
  </si>
  <si>
    <t>120R 0805</t>
  </si>
  <si>
    <t>390R 0805</t>
  </si>
  <si>
    <t>560R 0805</t>
  </si>
  <si>
    <t>100K 0805</t>
  </si>
  <si>
    <t>0,1UF0805</t>
  </si>
  <si>
    <t>33pF 0805</t>
  </si>
  <si>
    <t>22pF 0805</t>
  </si>
  <si>
    <t>1NF 0805</t>
  </si>
  <si>
    <t>LED 0805</t>
  </si>
  <si>
    <t>LL4148</t>
  </si>
  <si>
    <t>5V1 0805</t>
  </si>
  <si>
    <t xml:space="preserve">S1M </t>
  </si>
  <si>
    <t>BC807</t>
  </si>
  <si>
    <t>BC817</t>
  </si>
  <si>
    <t>MCP130T</t>
  </si>
  <si>
    <t>LM 75A</t>
  </si>
  <si>
    <t>LM2576-5</t>
  </si>
  <si>
    <t>24LC32</t>
  </si>
  <si>
    <t>ULN2003</t>
  </si>
  <si>
    <t>74HCT597</t>
  </si>
  <si>
    <t>74AHCT595</t>
  </si>
  <si>
    <t>74HCT244</t>
  </si>
  <si>
    <t>11173V3</t>
  </si>
  <si>
    <t>LPC 2368</t>
  </si>
  <si>
    <t>FUSREAR M</t>
  </si>
  <si>
    <t>FE1 120Z</t>
  </si>
  <si>
    <t xml:space="preserve"> </t>
  </si>
  <si>
    <t>SDCARD</t>
  </si>
  <si>
    <t>330R0805</t>
  </si>
  <si>
    <t>LM1036</t>
  </si>
  <si>
    <t>TLE4976</t>
  </si>
  <si>
    <t>LPC1114</t>
  </si>
  <si>
    <t>SN75176B</t>
  </si>
  <si>
    <t>LPC1768</t>
  </si>
  <si>
    <t>1K2 0805</t>
  </si>
  <si>
    <t>PCIS</t>
  </si>
  <si>
    <t>RECEBIDO</t>
  </si>
  <si>
    <t>150R0805</t>
  </si>
  <si>
    <t>47k0805</t>
  </si>
  <si>
    <t>200k0805</t>
  </si>
  <si>
    <t>2R70805</t>
  </si>
  <si>
    <t>31M3133</t>
  </si>
  <si>
    <t>FT232FL</t>
  </si>
  <si>
    <t>220K0805</t>
  </si>
  <si>
    <t>ACS712</t>
  </si>
  <si>
    <t>MOC3020</t>
  </si>
  <si>
    <t>CHAMADAS-R03</t>
  </si>
  <si>
    <t>HCPL 354</t>
  </si>
  <si>
    <t>DESRIÇÃO</t>
  </si>
  <si>
    <t>B8290</t>
  </si>
  <si>
    <t>3k30805</t>
  </si>
  <si>
    <t>S1M</t>
  </si>
  <si>
    <t>DECODSE-R05</t>
  </si>
  <si>
    <t>LPC11E37</t>
  </si>
  <si>
    <t>TLP180GB</t>
  </si>
  <si>
    <t>TLP180GR</t>
  </si>
  <si>
    <t>TLP180FT</t>
  </si>
  <si>
    <t>FODM2705R2</t>
  </si>
  <si>
    <t>74AHC595</t>
  </si>
  <si>
    <t>SMAJ5.0A</t>
  </si>
  <si>
    <t>TVS3.3V</t>
  </si>
  <si>
    <t>LPC11E12</t>
  </si>
  <si>
    <t>SMP3V3</t>
  </si>
  <si>
    <t>1K5</t>
  </si>
  <si>
    <t>2K2 0603</t>
  </si>
  <si>
    <t>TS912</t>
  </si>
  <si>
    <t>6K8 0805</t>
  </si>
  <si>
    <t>SS14</t>
  </si>
  <si>
    <t>SMAJ6.5A</t>
  </si>
  <si>
    <t>QT. RECEBIDO</t>
  </si>
  <si>
    <t>IPDMFRONT R03 L00</t>
  </si>
  <si>
    <t>1K-1206</t>
  </si>
  <si>
    <t>3K9-2512</t>
  </si>
  <si>
    <t>SMAJ33A</t>
  </si>
  <si>
    <t>SOQ. BAT.</t>
  </si>
  <si>
    <t xml:space="preserve">100K </t>
  </si>
  <si>
    <t>P6KE33CA</t>
  </si>
  <si>
    <t>S25FL256</t>
  </si>
  <si>
    <t>STM8S005K6T6CTR</t>
  </si>
  <si>
    <t>62R 0805</t>
  </si>
  <si>
    <t>4K7 1206</t>
  </si>
  <si>
    <t>STM8S005C6</t>
  </si>
  <si>
    <t>1M5 0805</t>
  </si>
  <si>
    <t>27R 0805</t>
  </si>
  <si>
    <t>MX25L6433FM21-08G</t>
  </si>
  <si>
    <t>SPWFO1S</t>
  </si>
  <si>
    <t>MULTIMIDIA R02 L03</t>
  </si>
  <si>
    <t>10NF 0805</t>
  </si>
  <si>
    <t>STM32F072RBT6</t>
  </si>
  <si>
    <t>LM2576-12V</t>
  </si>
  <si>
    <t>SMAJ12A</t>
  </si>
  <si>
    <t>220NF</t>
  </si>
  <si>
    <t>STM32F030C8</t>
  </si>
  <si>
    <t>MINILEV R01 L00</t>
  </si>
  <si>
    <t>STM32F091VCT6</t>
  </si>
  <si>
    <t>5K6 1206</t>
  </si>
  <si>
    <t>22K 0805</t>
  </si>
  <si>
    <t>STM8S003K3T6CTR</t>
  </si>
  <si>
    <t>330R 0805</t>
  </si>
  <si>
    <t>1K 1206</t>
  </si>
  <si>
    <t>33PF 0805</t>
  </si>
  <si>
    <t>22PF 0805</t>
  </si>
  <si>
    <t>LM75A</t>
  </si>
  <si>
    <t>LM358</t>
  </si>
  <si>
    <t>24C32</t>
  </si>
  <si>
    <t>HCPL354</t>
  </si>
  <si>
    <t>LPC2368</t>
  </si>
  <si>
    <t>FE120Z</t>
  </si>
  <si>
    <t>75176B</t>
  </si>
  <si>
    <t>150R 0805</t>
  </si>
  <si>
    <t>47K 0805</t>
  </si>
  <si>
    <t>200K 0805</t>
  </si>
  <si>
    <t>2R7 0805</t>
  </si>
  <si>
    <t>220K 0805</t>
  </si>
  <si>
    <t>3K3 0805</t>
  </si>
  <si>
    <t>1K5 0805</t>
  </si>
  <si>
    <t>3K9 2512</t>
  </si>
  <si>
    <t>4K71206</t>
  </si>
  <si>
    <t>SPWF01S</t>
  </si>
  <si>
    <t>GENIUS R06 L01</t>
  </si>
  <si>
    <t>VOICEARD R03 L02</t>
  </si>
  <si>
    <t>INFOSENSOR R08 L01</t>
  </si>
  <si>
    <t>DECODSE R01 L01</t>
  </si>
  <si>
    <t>IPDMCS CONTROL R02 L02</t>
  </si>
  <si>
    <t>CABINA-R01 L03</t>
  </si>
  <si>
    <t>SELETOR R01 L02</t>
  </si>
  <si>
    <t>24LC256</t>
  </si>
  <si>
    <t>560R-1210</t>
  </si>
  <si>
    <t>BIG GLASS-R00 L03 CE0101</t>
  </si>
  <si>
    <t>IPDMGCS R04 L03 CE0057</t>
  </si>
  <si>
    <t>IPDMQCS R01 L02 CE0102</t>
  </si>
  <si>
    <t>IPDMCGcs R00 L01 CE0101</t>
  </si>
  <si>
    <t>COMPONENTES</t>
  </si>
  <si>
    <t>QT. NECESSARIA</t>
  </si>
  <si>
    <t>3K92512</t>
  </si>
  <si>
    <t>24C256</t>
  </si>
  <si>
    <t>560R1210</t>
  </si>
  <si>
    <t>1UF/25V</t>
  </si>
  <si>
    <t>STD10P6F6</t>
  </si>
  <si>
    <t>1K5 5W</t>
  </si>
  <si>
    <t>22K PRO</t>
  </si>
  <si>
    <t>0R 0402</t>
  </si>
  <si>
    <t>LPC1788</t>
  </si>
  <si>
    <t>SW60_36</t>
  </si>
  <si>
    <t>FUSE 1206</t>
  </si>
  <si>
    <t>INFOSLIM R00 L01</t>
  </si>
  <si>
    <t>120R-1206</t>
  </si>
  <si>
    <t>INDUTOR 470UH 1206</t>
  </si>
  <si>
    <t>120R 1206</t>
  </si>
  <si>
    <t>PC16S520V</t>
  </si>
  <si>
    <t>A1103LUA</t>
  </si>
  <si>
    <t>SUD19P06-60</t>
  </si>
  <si>
    <t>DESPA CE00</t>
  </si>
  <si>
    <t>INFOSMS</t>
  </si>
  <si>
    <t>ILHSE</t>
  </si>
  <si>
    <t>GRAVADOR STM8S</t>
  </si>
  <si>
    <t>TESTADOR UNIVERSAL</t>
  </si>
  <si>
    <t>SIMULADOR GENIUS</t>
  </si>
  <si>
    <t>IR SCALA</t>
  </si>
  <si>
    <t>SPWF01SA</t>
  </si>
  <si>
    <t>INDUTOR 744770 20</t>
  </si>
  <si>
    <t>INDUTOR 744771 410 1</t>
  </si>
  <si>
    <t>CONV-3</t>
  </si>
  <si>
    <t>DSS4320T</t>
  </si>
  <si>
    <t>PC PLUS CE105 R02</t>
  </si>
  <si>
    <t>MINI8 R02 L01 CE0099</t>
  </si>
  <si>
    <t>IPDGGCS-R05 L02 CE 0051</t>
  </si>
  <si>
    <t>IPDMCS FRONT2D R00 L00 VM CE0089</t>
  </si>
  <si>
    <t>IPDMCS-FRONT2D R00 L00 AZ CE0089</t>
  </si>
  <si>
    <t>IPDACS FRONT R00 L01 VM CE0094</t>
  </si>
  <si>
    <t>IPDLCD-R07 L02 CE0061</t>
  </si>
  <si>
    <t>IPDACS CONTROLR00 L05 CE0092</t>
  </si>
  <si>
    <t>SCALA R02 L03 CE0067</t>
  </si>
  <si>
    <t>A1193LUA-T</t>
  </si>
  <si>
    <t>SICI-R03L00 CE0084</t>
  </si>
  <si>
    <t>IR-SEG-R05L02 CE0072</t>
  </si>
  <si>
    <t>MINICAB R00 L01 CE107</t>
  </si>
  <si>
    <t>BZX384-B5V1</t>
  </si>
  <si>
    <t>4K7-1210</t>
  </si>
  <si>
    <t>10K-0603</t>
  </si>
  <si>
    <t>2R7-1210</t>
  </si>
  <si>
    <t>0,1UF/50V-0805</t>
  </si>
  <si>
    <t>0,1uF/50V-0603</t>
  </si>
  <si>
    <t>CONV4 CE0109 R00 L00</t>
  </si>
  <si>
    <t>47K5 0805</t>
  </si>
  <si>
    <t>22K1 0805</t>
  </si>
  <si>
    <t>CP2102N</t>
  </si>
  <si>
    <t>USBLC6-2SC6</t>
  </si>
  <si>
    <t>ESP32-WROOM-32</t>
  </si>
  <si>
    <t>74LCX14M</t>
  </si>
  <si>
    <t>BTA760-7</t>
  </si>
  <si>
    <t>RESGATE SEMI CE0106 R00 L04</t>
  </si>
  <si>
    <t>22R 0805</t>
  </si>
  <si>
    <t>27K 0805</t>
  </si>
  <si>
    <t>240R 0805</t>
  </si>
  <si>
    <t>4,7nF 0805</t>
  </si>
  <si>
    <t>10uF 0805</t>
  </si>
  <si>
    <t>GLASS BLACK ALTOCE0100R01 L04</t>
  </si>
  <si>
    <t>IPDCCS GLASS CE100 R01 L06</t>
  </si>
  <si>
    <t>Código</t>
  </si>
  <si>
    <t>Quant por rolo</t>
  </si>
  <si>
    <t>Data</t>
  </si>
  <si>
    <t xml:space="preserve">FONTE FREIO CE0070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</si>
</sst>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_ ;[Red]\-0\ 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 applyBorder="1" applyAlignment="1">
      <alignment horizontal="left" vertical="center"/>
    </xf>
    <xf numFmtId="14" fontId="1" fillId="0" borderId="8" xfId="0" applyNumberFormat="1" applyFont="1" applyBorder="1" applyAlignment="1">
      <alignment horizontal="left" vertical="center"/>
    </xf>
    <xf numFmtId="14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6" fontId="0" fillId="0" borderId="10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9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0" xfId="0" applyNumberFormat="1"/>
    <xf numFmtId="0" fontId="0" fillId="2" borderId="0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1" fontId="0" fillId="0" borderId="0" xfId="0" applyNumberFormat="1" applyAlignment="1">
      <alignment horizontal="centerContinuous" vertical="center" shrinkToFit="1" readingOrder="1"/>
    </xf>
    <xf numFmtId="1" fontId="0" fillId="0" borderId="0" xfId="0" applyNumberFormat="1" applyAlignment="1">
      <alignment horizontal="center" readingOrder="2"/>
    </xf>
    <xf numFmtId="1" fontId="0" fillId="0" borderId="0" xfId="0" applyNumberFormat="1" applyAlignment="1">
      <alignment horizontal="fill"/>
    </xf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readingOrder="1"/>
    </xf>
    <xf numFmtId="164" fontId="1" fillId="0" borderId="6" xfId="0" applyNumberFormat="1" applyFont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" fillId="3" borderId="7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M70"/>
  <sheetViews>
    <sheetView tabSelected="1" topLeftCell="AP1" zoomScale="95" zoomScaleNormal="82" workbookViewId="0">
      <pane ySplit="1" topLeftCell="A17" activePane="bottomLeft" state="frozen"/>
      <selection pane="bottomLeft" activeCell="W19" sqref="W19"/>
    </sheetView>
  </sheetViews>
  <sheetFormatPr defaultRowHeight="15" x14ac:dyDescent="0.25"/>
  <cols>
    <col min="1" max="1" width="42.5703125" style="52" customWidth="1"/>
    <col min="2" max="2" width="9.140625" style="3"/>
    <col min="3" max="8" width="9.28515625" style="3" bestFit="1" customWidth="1"/>
    <col min="9" max="9" width="10" style="3" bestFit="1" customWidth="1"/>
    <col min="10" max="10" width="9.28515625" style="3" bestFit="1" customWidth="1"/>
    <col min="11" max="11" width="10" style="3" bestFit="1" customWidth="1"/>
    <col min="12" max="12" width="10.28515625" style="3" customWidth="1"/>
    <col min="13" max="16" width="10" style="3" bestFit="1" customWidth="1"/>
    <col min="17" max="17" width="9.28515625" style="3" bestFit="1" customWidth="1"/>
    <col min="18" max="18" width="10" style="3" bestFit="1" customWidth="1"/>
    <col min="19" max="22" width="9.28515625" style="3" bestFit="1" customWidth="1"/>
    <col min="23" max="23" width="12.85546875" style="3" bestFit="1" customWidth="1"/>
    <col min="24" max="24" width="9.28515625" style="3" bestFit="1" customWidth="1"/>
    <col min="25" max="25" width="10" style="3" bestFit="1" customWidth="1"/>
    <col min="26" max="26" width="13.28515625" style="3" bestFit="1" customWidth="1"/>
    <col min="27" max="69" width="9.28515625" style="3" bestFit="1" customWidth="1"/>
    <col min="70" max="70" width="12.5703125" style="3" customWidth="1"/>
    <col min="71" max="71" width="12.28515625" style="3" customWidth="1"/>
    <col min="72" max="72" width="9.140625" style="3" customWidth="1"/>
    <col min="73" max="150" width="9.28515625" style="3" bestFit="1" customWidth="1"/>
    <col min="151" max="16384" width="9.140625" style="3"/>
  </cols>
  <sheetData>
    <row r="1" spans="1:131" ht="17.25" thickTop="1" thickBot="1" x14ac:dyDescent="0.3">
      <c r="A1" s="40" t="s">
        <v>59</v>
      </c>
      <c r="B1" s="5" t="s">
        <v>0</v>
      </c>
      <c r="C1" s="6" t="s">
        <v>6</v>
      </c>
      <c r="D1" s="6" t="s">
        <v>3</v>
      </c>
      <c r="E1" s="6" t="s">
        <v>5</v>
      </c>
      <c r="F1" s="6" t="s">
        <v>4</v>
      </c>
      <c r="G1" s="6" t="s">
        <v>11</v>
      </c>
      <c r="H1" s="6" t="s">
        <v>82</v>
      </c>
      <c r="I1" s="7" t="s">
        <v>39</v>
      </c>
      <c r="J1" s="6" t="s">
        <v>12</v>
      </c>
      <c r="K1" s="6" t="s">
        <v>13</v>
      </c>
      <c r="L1" s="6" t="s">
        <v>2</v>
      </c>
      <c r="M1" s="6" t="s">
        <v>7</v>
      </c>
      <c r="N1" s="6" t="s">
        <v>8</v>
      </c>
      <c r="O1" s="6" t="s">
        <v>9</v>
      </c>
      <c r="P1" s="6" t="s">
        <v>10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98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72</v>
      </c>
      <c r="AD1" s="6" t="s">
        <v>25</v>
      </c>
      <c r="AE1" s="6" t="s">
        <v>33</v>
      </c>
      <c r="AF1" s="6" t="s">
        <v>26</v>
      </c>
      <c r="AG1" s="6" t="s">
        <v>114</v>
      </c>
      <c r="AH1" s="6" t="s">
        <v>27</v>
      </c>
      <c r="AI1" s="6" t="s">
        <v>28</v>
      </c>
      <c r="AJ1" s="6" t="s">
        <v>29</v>
      </c>
      <c r="AK1" s="6">
        <v>40106</v>
      </c>
      <c r="AL1" s="6" t="s">
        <v>30</v>
      </c>
      <c r="AM1" s="6" t="s">
        <v>31</v>
      </c>
      <c r="AN1" s="6" t="s">
        <v>32</v>
      </c>
      <c r="AO1" s="6" t="s">
        <v>58</v>
      </c>
      <c r="AP1" s="6" t="s">
        <v>34</v>
      </c>
      <c r="AQ1" s="6" t="s">
        <v>35</v>
      </c>
      <c r="AR1" s="6" t="s">
        <v>36</v>
      </c>
      <c r="AS1" s="6" t="s">
        <v>38</v>
      </c>
      <c r="AT1" s="6" t="s">
        <v>40</v>
      </c>
      <c r="AU1" s="6" t="s">
        <v>41</v>
      </c>
      <c r="AV1" s="6" t="s">
        <v>42</v>
      </c>
      <c r="AW1" s="6" t="s">
        <v>43</v>
      </c>
      <c r="AX1" s="6" t="s">
        <v>44</v>
      </c>
      <c r="AY1" s="6" t="s">
        <v>45</v>
      </c>
      <c r="AZ1" s="8" t="s">
        <v>48</v>
      </c>
      <c r="BA1" s="8" t="s">
        <v>49</v>
      </c>
      <c r="BB1" s="8" t="s">
        <v>50</v>
      </c>
      <c r="BC1" s="9" t="s">
        <v>51</v>
      </c>
      <c r="BD1" s="9" t="s">
        <v>102</v>
      </c>
      <c r="BE1" s="9" t="s">
        <v>46</v>
      </c>
      <c r="BF1" s="9" t="s">
        <v>47</v>
      </c>
      <c r="BG1" s="10" t="s">
        <v>1</v>
      </c>
      <c r="BH1" s="11"/>
      <c r="BI1" s="9" t="s">
        <v>52</v>
      </c>
      <c r="BJ1" s="9" t="s">
        <v>53</v>
      </c>
      <c r="BK1" s="9" t="s">
        <v>54</v>
      </c>
      <c r="BL1" s="9" t="s">
        <v>55</v>
      </c>
      <c r="BM1" s="9" t="s">
        <v>56</v>
      </c>
      <c r="BN1" s="9" t="s">
        <v>64</v>
      </c>
      <c r="BO1" s="9" t="s">
        <v>69</v>
      </c>
      <c r="BP1" s="9" t="s">
        <v>60</v>
      </c>
      <c r="BQ1" s="10" t="s">
        <v>61</v>
      </c>
      <c r="BR1" s="12" t="s">
        <v>70</v>
      </c>
      <c r="BS1" s="13" t="s">
        <v>71</v>
      </c>
      <c r="BT1" s="9" t="s">
        <v>72</v>
      </c>
      <c r="BU1" s="9" t="s">
        <v>73</v>
      </c>
      <c r="BV1" s="9" t="s">
        <v>74</v>
      </c>
      <c r="BW1" s="9" t="s">
        <v>75</v>
      </c>
      <c r="BX1" s="9" t="s">
        <v>76</v>
      </c>
      <c r="BY1" s="9" t="s">
        <v>77</v>
      </c>
      <c r="BZ1" s="9" t="s">
        <v>78</v>
      </c>
      <c r="CA1" s="9" t="s">
        <v>79</v>
      </c>
      <c r="CB1" s="9" t="s">
        <v>86</v>
      </c>
      <c r="CC1" s="9" t="s">
        <v>83</v>
      </c>
      <c r="CD1" s="9" t="s">
        <v>84</v>
      </c>
      <c r="CE1" s="14" t="s">
        <v>85</v>
      </c>
      <c r="CF1" s="9" t="s">
        <v>87</v>
      </c>
      <c r="CG1" s="9" t="s">
        <v>88</v>
      </c>
      <c r="CH1" s="9" t="s">
        <v>89</v>
      </c>
      <c r="CI1" s="14"/>
      <c r="CJ1" s="9" t="s">
        <v>137</v>
      </c>
      <c r="CK1" s="14"/>
      <c r="CL1" s="9" t="s">
        <v>90</v>
      </c>
      <c r="CM1" s="8" t="s">
        <v>91</v>
      </c>
      <c r="CN1" s="8" t="s">
        <v>92</v>
      </c>
      <c r="CO1" s="14"/>
      <c r="CP1" s="8" t="s">
        <v>99</v>
      </c>
      <c r="CQ1" s="14"/>
      <c r="CR1" s="15" t="s">
        <v>93</v>
      </c>
      <c r="CS1" s="15" t="s">
        <v>94</v>
      </c>
      <c r="CT1" s="15" t="s">
        <v>95</v>
      </c>
      <c r="CU1" s="4"/>
      <c r="CV1" s="4"/>
      <c r="CW1" s="15" t="s">
        <v>96</v>
      </c>
      <c r="CX1" s="15" t="s">
        <v>100</v>
      </c>
      <c r="CY1" s="4"/>
      <c r="CZ1" s="15" t="s">
        <v>101</v>
      </c>
      <c r="DA1" s="15" t="s">
        <v>103</v>
      </c>
      <c r="DB1" s="4"/>
      <c r="DC1" s="15" t="s">
        <v>105</v>
      </c>
      <c r="DD1" s="4"/>
      <c r="DE1" s="15">
        <v>555</v>
      </c>
      <c r="DF1" s="15" t="s">
        <v>106</v>
      </c>
      <c r="DG1" s="15" t="s">
        <v>107</v>
      </c>
      <c r="DH1" s="15" t="s">
        <v>108</v>
      </c>
      <c r="DI1" s="4"/>
      <c r="DJ1" s="15" t="s">
        <v>83</v>
      </c>
      <c r="DK1" s="8" t="s">
        <v>137</v>
      </c>
      <c r="DL1" s="8" t="s">
        <v>138</v>
      </c>
      <c r="DM1" s="8" t="s">
        <v>72</v>
      </c>
      <c r="DN1" s="8" t="s">
        <v>148</v>
      </c>
      <c r="DO1" s="14" t="s">
        <v>149</v>
      </c>
      <c r="DP1" s="14"/>
      <c r="DQ1" s="14" t="s">
        <v>150</v>
      </c>
      <c r="DR1" s="14" t="s">
        <v>151</v>
      </c>
      <c r="DS1" s="14" t="s">
        <v>152</v>
      </c>
      <c r="DT1" s="14" t="s">
        <v>153</v>
      </c>
      <c r="DU1" s="14" t="s">
        <v>154</v>
      </c>
      <c r="DV1" s="14" t="s">
        <v>158</v>
      </c>
      <c r="DW1" s="14"/>
      <c r="DX1" s="14" t="s">
        <v>159</v>
      </c>
      <c r="EA1" s="3" t="s">
        <v>184</v>
      </c>
    </row>
    <row r="2" spans="1:131" x14ac:dyDescent="0.25">
      <c r="A2" s="41" t="s">
        <v>37</v>
      </c>
      <c r="B2" s="16"/>
      <c r="AY2" s="3" t="s">
        <v>37</v>
      </c>
      <c r="AZ2" s="3">
        <f>SUM(B2*7)</f>
        <v>0</v>
      </c>
      <c r="BF2" s="3">
        <v>0</v>
      </c>
      <c r="BG2" s="3">
        <f>ABS(BE2-BF2)</f>
        <v>0</v>
      </c>
      <c r="BO2" s="3">
        <f>SUM(B2*2)</f>
        <v>0</v>
      </c>
    </row>
    <row r="3" spans="1:131" x14ac:dyDescent="0.25">
      <c r="A3" s="41" t="s">
        <v>130</v>
      </c>
      <c r="B3" s="16">
        <v>1998</v>
      </c>
      <c r="F3" s="3">
        <f>SUM(6*B3)</f>
        <v>11988</v>
      </c>
      <c r="G3" s="3">
        <f>SUM(8*B3)</f>
        <v>15984</v>
      </c>
      <c r="H3" s="3">
        <f>SUM(44*B3)</f>
        <v>87912</v>
      </c>
      <c r="I3" s="3">
        <f>SUM(8*B3)</f>
        <v>15984</v>
      </c>
      <c r="K3" s="3">
        <f>SUM(44*B3)</f>
        <v>87912</v>
      </c>
      <c r="L3" s="3">
        <f>SUM(43*B3)</f>
        <v>85914</v>
      </c>
      <c r="M3" s="3">
        <f>SUM(48*B3)</f>
        <v>95904</v>
      </c>
      <c r="N3" s="3">
        <f>SUM(45*B3)</f>
        <v>89910</v>
      </c>
      <c r="P3" s="3">
        <f>SUM(13*B3)</f>
        <v>25974</v>
      </c>
      <c r="R3" s="3">
        <f>SUM(48*B3)</f>
        <v>95904</v>
      </c>
      <c r="S3" s="3">
        <f>SUM(2*B3)</f>
        <v>3996</v>
      </c>
      <c r="T3" s="3">
        <f>SUM(2*B3)</f>
        <v>3996</v>
      </c>
      <c r="W3" s="3">
        <f>SUM(42*B3)</f>
        <v>83916</v>
      </c>
      <c r="X3" s="3">
        <f>SUM(7*B3)</f>
        <v>13986</v>
      </c>
      <c r="Y3" s="3">
        <f>SUM(36*B3)</f>
        <v>71928</v>
      </c>
      <c r="Z3" s="3">
        <f>SUM(93*B3)</f>
        <v>185814</v>
      </c>
      <c r="AD3" s="3">
        <f>SUM(1*B3)</f>
        <v>1998</v>
      </c>
      <c r="AE3" s="3">
        <f>SUM(1*B3)</f>
        <v>1998</v>
      </c>
      <c r="AH3" s="3">
        <f>SUM(1*B3)</f>
        <v>1998</v>
      </c>
      <c r="AI3" s="3">
        <f>SUM(1*B3)</f>
        <v>1998</v>
      </c>
      <c r="AJ3" s="3">
        <f>SUM(7*B3)</f>
        <v>13986</v>
      </c>
      <c r="AK3" s="3">
        <f>SUM(7*B3)</f>
        <v>13986</v>
      </c>
      <c r="AL3" s="3">
        <f>SUM(4*B3)</f>
        <v>7992</v>
      </c>
      <c r="AM3" s="3">
        <f>SUM(4*B3)</f>
        <v>7992</v>
      </c>
      <c r="AP3" s="3">
        <f>SUM(1*B3)</f>
        <v>1998</v>
      </c>
      <c r="AW3" s="3">
        <f>SUM(B3*2)</f>
        <v>3996</v>
      </c>
      <c r="BE3" s="3">
        <v>900</v>
      </c>
      <c r="BF3" s="3">
        <v>0</v>
      </c>
      <c r="BG3" s="17">
        <f t="shared" ref="BG3:BG13" si="0">SUM(BE3-BF3)</f>
        <v>900</v>
      </c>
      <c r="BR3" s="3">
        <f>SUM(B3*1)</f>
        <v>1998</v>
      </c>
      <c r="CE3" s="3">
        <f>SUM(1*B3)</f>
        <v>1998</v>
      </c>
      <c r="CF3" s="3">
        <f>SUM(1*B3)</f>
        <v>1998</v>
      </c>
      <c r="DX3" s="3">
        <f>SUM(C52)</f>
        <v>11850</v>
      </c>
    </row>
    <row r="4" spans="1:131" x14ac:dyDescent="0.25">
      <c r="A4" s="41" t="s">
        <v>57</v>
      </c>
      <c r="B4" s="16">
        <v>50</v>
      </c>
      <c r="F4" s="3">
        <f>SUM(12*B4)</f>
        <v>600</v>
      </c>
      <c r="G4" s="3">
        <f>SUM(8*B4)</f>
        <v>400</v>
      </c>
      <c r="I4" s="3">
        <f>SUM(16*B4)</f>
        <v>800</v>
      </c>
      <c r="J4" s="3">
        <f>SUM(7*B4)</f>
        <v>350</v>
      </c>
      <c r="K4" s="3">
        <f>SUM(16*B4)</f>
        <v>800</v>
      </c>
      <c r="L4" s="3">
        <f>SUM(32*B4)</f>
        <v>1600</v>
      </c>
      <c r="M4" s="3">
        <f>SUM(32*B4)</f>
        <v>1600</v>
      </c>
      <c r="N4" s="3">
        <f>SUM(22*B4)</f>
        <v>1100</v>
      </c>
      <c r="P4" s="3">
        <f>SUM(8*B4)</f>
        <v>400</v>
      </c>
      <c r="R4" s="3">
        <f>SUM(16*B4)</f>
        <v>800</v>
      </c>
      <c r="S4" s="3">
        <f>SUM(2*B4)</f>
        <v>100</v>
      </c>
      <c r="W4" s="3">
        <f>SUM(7*B4)</f>
        <v>350</v>
      </c>
      <c r="X4" s="3" t="s">
        <v>37</v>
      </c>
      <c r="Y4" s="3">
        <f>SUM(8*B4)</f>
        <v>400</v>
      </c>
      <c r="Z4" s="3">
        <f>SUM(51*B4)</f>
        <v>2550</v>
      </c>
      <c r="AD4" s="3">
        <f>SUM(1*B4)</f>
        <v>50</v>
      </c>
      <c r="AE4" s="3">
        <f>SUM(1*B4)</f>
        <v>50</v>
      </c>
      <c r="AH4" s="3">
        <f>SUM(1*B4)</f>
        <v>50</v>
      </c>
      <c r="AI4" s="3">
        <f>SUM(1*B4)</f>
        <v>50</v>
      </c>
      <c r="AJ4" s="3">
        <f>SUM(4*B4)</f>
        <v>200</v>
      </c>
      <c r="AK4" s="3">
        <f>SUM(2*B4)</f>
        <v>100</v>
      </c>
      <c r="AP4" s="3">
        <f>SUM(1*B4)</f>
        <v>50</v>
      </c>
      <c r="BE4" s="3">
        <v>0</v>
      </c>
      <c r="BF4" s="3">
        <v>175</v>
      </c>
      <c r="BG4" s="18">
        <f t="shared" si="0"/>
        <v>-175</v>
      </c>
    </row>
    <row r="5" spans="1:131" x14ac:dyDescent="0.25">
      <c r="A5" s="41" t="s">
        <v>131</v>
      </c>
      <c r="B5" s="16">
        <v>500</v>
      </c>
      <c r="C5" s="3">
        <f>SUM(1*B5)</f>
        <v>500</v>
      </c>
      <c r="F5" s="3">
        <f>SUM(1*B5)</f>
        <v>500</v>
      </c>
      <c r="K5" s="3">
        <f>SUM(2*B5)</f>
        <v>1000</v>
      </c>
      <c r="L5" s="3">
        <f>SUM(4*B5)</f>
        <v>2000</v>
      </c>
      <c r="N5" s="3">
        <f>SUM(2*B5)</f>
        <v>1000</v>
      </c>
      <c r="O5" s="3">
        <f>SUM(B5*2)</f>
        <v>1000</v>
      </c>
      <c r="P5" s="3">
        <f>SUM(25*B5)</f>
        <v>12500</v>
      </c>
      <c r="R5" s="3">
        <f>SUM(18*B5)</f>
        <v>9000</v>
      </c>
      <c r="S5" s="3">
        <f>SUM(2*B5)</f>
        <v>1000</v>
      </c>
      <c r="T5" s="3">
        <f>SUM(2*B5)</f>
        <v>1000</v>
      </c>
      <c r="W5" s="3">
        <f>SUM(3*B5)</f>
        <v>1500</v>
      </c>
      <c r="X5" s="3">
        <f>SUM(3*B5)</f>
        <v>1500</v>
      </c>
      <c r="Z5" s="3">
        <f>SUM(3*B5)</f>
        <v>1500</v>
      </c>
      <c r="AD5" s="3">
        <f>SUM(1*B5)</f>
        <v>500</v>
      </c>
      <c r="AE5" s="3">
        <f>SUM(1*B5)</f>
        <v>500</v>
      </c>
      <c r="AF5" s="3">
        <f>SUM(1*B5)</f>
        <v>500</v>
      </c>
      <c r="AH5" s="3">
        <f>SUM(1*B5)</f>
        <v>500</v>
      </c>
      <c r="AP5" s="3">
        <f>SUM(1*B5)</f>
        <v>500</v>
      </c>
      <c r="AS5" s="3">
        <f>SUM(1*B5)</f>
        <v>500</v>
      </c>
      <c r="AW5" s="3">
        <f>SUM(3*B5)</f>
        <v>1500</v>
      </c>
      <c r="AZ5" s="3">
        <f>SUM(2*B5)</f>
        <v>1000</v>
      </c>
      <c r="BC5" s="3">
        <f>SUM(1*B5)</f>
        <v>500</v>
      </c>
      <c r="BE5" s="3">
        <v>400</v>
      </c>
      <c r="BF5" s="18">
        <v>300</v>
      </c>
      <c r="BG5" s="18">
        <f>SUM(BE5-BF5)</f>
        <v>100</v>
      </c>
      <c r="BR5" s="3">
        <f>SUM(1*B5)</f>
        <v>500</v>
      </c>
      <c r="BZ5" s="3">
        <f>SUM(1*B5)</f>
        <v>500</v>
      </c>
      <c r="CA5" s="3">
        <f>SUM(B5*2)</f>
        <v>1000</v>
      </c>
      <c r="CD5" s="3">
        <f>SUM(1*B5)</f>
        <v>500</v>
      </c>
      <c r="CE5" s="3">
        <f>SUM(1*B5)</f>
        <v>500</v>
      </c>
      <c r="CG5" s="3">
        <f>SUM(B5*1)</f>
        <v>500</v>
      </c>
    </row>
    <row r="6" spans="1:131" x14ac:dyDescent="0.25">
      <c r="A6" s="41" t="s">
        <v>186</v>
      </c>
      <c r="B6" s="16">
        <v>1000</v>
      </c>
      <c r="L6" s="3">
        <f>SUM(10*B6)</f>
        <v>10000</v>
      </c>
      <c r="P6" s="3">
        <f>SUM(5*B6)</f>
        <v>5000</v>
      </c>
      <c r="R6" s="3">
        <f>SUM(5*B6)</f>
        <v>5000</v>
      </c>
      <c r="W6" s="3">
        <f>SUM(1*B6)</f>
        <v>1000</v>
      </c>
      <c r="Z6" s="3">
        <f>SUM(1*B6)</f>
        <v>1000</v>
      </c>
      <c r="AA6" s="3">
        <f>SUM(5*B6)</f>
        <v>5000</v>
      </c>
      <c r="AO6" s="18">
        <f>SUM(5*B6)</f>
        <v>5000</v>
      </c>
      <c r="BE6" s="3">
        <v>700</v>
      </c>
      <c r="BF6" s="3">
        <v>590</v>
      </c>
      <c r="BG6" s="17">
        <f t="shared" si="0"/>
        <v>110</v>
      </c>
    </row>
    <row r="7" spans="1:131" x14ac:dyDescent="0.25">
      <c r="A7" s="41" t="s">
        <v>181</v>
      </c>
      <c r="B7" s="16">
        <v>0</v>
      </c>
      <c r="C7" s="3">
        <f>SUM(1*B7)</f>
        <v>0</v>
      </c>
      <c r="G7" s="3">
        <f>SUM(1*B7)</f>
        <v>0</v>
      </c>
      <c r="J7" s="3">
        <f>SUM(2*B7)</f>
        <v>0</v>
      </c>
      <c r="K7" s="3">
        <f>SUM(2*B7)</f>
        <v>0</v>
      </c>
      <c r="L7" s="3">
        <f>SUM(7*B7)</f>
        <v>0</v>
      </c>
      <c r="N7" s="3">
        <f>SUM(5*B7)</f>
        <v>0</v>
      </c>
      <c r="O7" s="3">
        <f>SUM(5*B7)</f>
        <v>0</v>
      </c>
      <c r="P7" s="3">
        <f>SUM(19*B7)</f>
        <v>0</v>
      </c>
      <c r="R7" s="3">
        <f>SUM(12*B7)</f>
        <v>0</v>
      </c>
      <c r="S7" s="3">
        <f>SUM(2*B7)</f>
        <v>0</v>
      </c>
      <c r="T7" s="3">
        <f>SUM(2*B7)</f>
        <v>0</v>
      </c>
      <c r="U7" s="3">
        <f>SUM(1*B7)</f>
        <v>0</v>
      </c>
      <c r="W7" s="3">
        <f>SUM(2*B7)</f>
        <v>0</v>
      </c>
      <c r="X7" s="3">
        <f>SUM(2*B7)</f>
        <v>0</v>
      </c>
      <c r="Y7" s="3">
        <f>SUM(4*B7)</f>
        <v>0</v>
      </c>
      <c r="Z7" s="3">
        <f>SUM(1*B7)</f>
        <v>0</v>
      </c>
      <c r="AB7" s="3">
        <f>SUM(3*B7)</f>
        <v>0</v>
      </c>
      <c r="AE7" s="3">
        <f>SUM(1*B7)</f>
        <v>0</v>
      </c>
      <c r="AF7" s="3">
        <f>SUM(1*B7)</f>
        <v>0</v>
      </c>
      <c r="AH7" s="3">
        <f>SUM(1*B7)</f>
        <v>0</v>
      </c>
      <c r="AI7" s="3">
        <f>SUM(1*B7)</f>
        <v>0</v>
      </c>
      <c r="AJ7" s="3">
        <f>SUM(1*B7)</f>
        <v>0</v>
      </c>
      <c r="AN7" s="3">
        <f>SUM(2*B7)</f>
        <v>0</v>
      </c>
      <c r="AP7" s="3">
        <f>SUM(1*B7)</f>
        <v>0</v>
      </c>
      <c r="AW7" s="3">
        <f>SUM(3*B7)</f>
        <v>0</v>
      </c>
      <c r="BE7" s="3">
        <v>50</v>
      </c>
      <c r="BF7" s="3">
        <v>0</v>
      </c>
      <c r="BG7" s="17">
        <f t="shared" si="0"/>
        <v>50</v>
      </c>
      <c r="BR7" s="3">
        <f>SUM(1*B7)</f>
        <v>0</v>
      </c>
      <c r="CA7" s="3">
        <f>SUM(2*B7)</f>
        <v>0</v>
      </c>
      <c r="CF7" s="3">
        <f>SUM(1*B7)</f>
        <v>0</v>
      </c>
      <c r="DU7" s="3">
        <f>SUM(1*B7)</f>
        <v>0</v>
      </c>
    </row>
    <row r="8" spans="1:131" x14ac:dyDescent="0.25">
      <c r="A8" s="41" t="s">
        <v>132</v>
      </c>
      <c r="B8" s="16">
        <v>10000</v>
      </c>
      <c r="E8" s="3">
        <f>SUM(1*B8)</f>
        <v>10000</v>
      </c>
      <c r="F8" s="3">
        <f>SUM(B8*2)</f>
        <v>20000</v>
      </c>
      <c r="J8" s="3">
        <f>SUM(2*B8)</f>
        <v>20000</v>
      </c>
      <c r="K8" s="3">
        <f>SUM(1*B8)</f>
        <v>10000</v>
      </c>
      <c r="N8" s="3">
        <f>SUM(4*B8)</f>
        <v>40000</v>
      </c>
      <c r="O8" s="3">
        <f>SUM(2*B8)</f>
        <v>20000</v>
      </c>
      <c r="P8" s="3">
        <f>SUM(5*B8)</f>
        <v>50000</v>
      </c>
      <c r="R8" s="3">
        <f>SUM(4*B8)</f>
        <v>40000</v>
      </c>
      <c r="W8" s="3">
        <f>SUM(1*B8)</f>
        <v>10000</v>
      </c>
      <c r="X8" s="3">
        <f>SUM(2*B8)</f>
        <v>20000</v>
      </c>
      <c r="Z8" s="3">
        <f>SUM(2*B8)</f>
        <v>20000</v>
      </c>
      <c r="AA8" s="3">
        <f>SUM(1*B8)</f>
        <v>10000</v>
      </c>
      <c r="AB8" s="3">
        <f>SUM(1*B8)</f>
        <v>10000</v>
      </c>
      <c r="AG8" s="3">
        <f>SUM(2*B8)</f>
        <v>20000</v>
      </c>
      <c r="AQ8" s="3">
        <f>SUM(1*B8)</f>
        <v>10000</v>
      </c>
      <c r="BE8" s="3">
        <v>4000</v>
      </c>
      <c r="BF8" s="3">
        <v>4000</v>
      </c>
      <c r="BG8" s="18">
        <f t="shared" si="0"/>
        <v>0</v>
      </c>
      <c r="DZ8" s="3">
        <f>SUM(B8*2)</f>
        <v>20000</v>
      </c>
    </row>
    <row r="9" spans="1:131" x14ac:dyDescent="0.25">
      <c r="A9" s="41" t="s">
        <v>213</v>
      </c>
      <c r="B9" s="16">
        <v>0</v>
      </c>
      <c r="D9" s="3" t="s">
        <v>37</v>
      </c>
      <c r="G9" s="3">
        <f>SUM(1*B9)</f>
        <v>0</v>
      </c>
      <c r="I9" s="3">
        <f>SUM(1*B9)</f>
        <v>0</v>
      </c>
      <c r="J9" s="3">
        <f>SUM(2*B9)</f>
        <v>0</v>
      </c>
      <c r="K9" s="3">
        <f>SUM(3*B9)</f>
        <v>0</v>
      </c>
      <c r="L9" s="3">
        <f>SUM(1*B9)</f>
        <v>0</v>
      </c>
      <c r="N9" s="3">
        <f>SUM(5*B9)</f>
        <v>0</v>
      </c>
      <c r="O9" s="3">
        <f>SUM(13*B9)</f>
        <v>0</v>
      </c>
      <c r="P9" s="3">
        <f>SUM(21*B9)</f>
        <v>0</v>
      </c>
      <c r="Q9" s="3">
        <f>SUM(3*B9)</f>
        <v>0</v>
      </c>
      <c r="R9" s="3">
        <f>SUM(5*B9)</f>
        <v>0</v>
      </c>
      <c r="S9" s="3">
        <f>SUM(2*B9)</f>
        <v>0</v>
      </c>
      <c r="U9" s="3">
        <f>SUM(,B9*1)</f>
        <v>0</v>
      </c>
      <c r="W9" s="3">
        <f>SUM(6*B9)</f>
        <v>0</v>
      </c>
      <c r="X9" s="3">
        <f>SUM(1*B9)</f>
        <v>0</v>
      </c>
      <c r="Z9" s="3">
        <f>SUM(5*B9)</f>
        <v>0</v>
      </c>
      <c r="AA9" s="3">
        <f>SUM(3*B9)</f>
        <v>0</v>
      </c>
      <c r="AB9" s="3">
        <f>SUM(10*B9)</f>
        <v>0</v>
      </c>
      <c r="AE9" s="3">
        <f>SUM(1*B9)</f>
        <v>0</v>
      </c>
      <c r="AH9" s="3">
        <f>SUM(1*B9)</f>
        <v>0</v>
      </c>
      <c r="AI9" s="3">
        <f>SUM(1*B9)</f>
        <v>0</v>
      </c>
      <c r="AO9" s="3">
        <f>SUM(5*B9)</f>
        <v>0</v>
      </c>
      <c r="AQ9" s="3">
        <f>SUM(2*B9)</f>
        <v>0</v>
      </c>
      <c r="AV9" s="3">
        <f>SUM(1*B9)</f>
        <v>0</v>
      </c>
      <c r="AW9" s="3">
        <f>SUM(2*B9)</f>
        <v>0</v>
      </c>
      <c r="BE9" s="3">
        <v>1100</v>
      </c>
      <c r="BF9" s="3">
        <v>200</v>
      </c>
      <c r="BG9" s="17">
        <f t="shared" si="0"/>
        <v>900</v>
      </c>
      <c r="BL9" s="3">
        <f>SUM(1*B9)</f>
        <v>0</v>
      </c>
      <c r="BM9" s="3">
        <f>SUM(1*B9)</f>
        <v>0</v>
      </c>
    </row>
    <row r="10" spans="1:131" x14ac:dyDescent="0.25">
      <c r="A10" s="41" t="s">
        <v>81</v>
      </c>
      <c r="B10" s="16">
        <v>1000</v>
      </c>
      <c r="O10" s="3">
        <f>SUM(B10*7)</f>
        <v>7000</v>
      </c>
      <c r="P10" s="3">
        <f>SUM(B10*1)</f>
        <v>1000</v>
      </c>
      <c r="R10" s="3">
        <f>SUM(3*B10)</f>
        <v>3000</v>
      </c>
      <c r="AB10" s="3">
        <f>SUM(B10*7)</f>
        <v>7000</v>
      </c>
      <c r="AE10" s="3">
        <f>SUM(B10*1)</f>
        <v>1000</v>
      </c>
      <c r="AO10" s="3" t="s">
        <v>65</v>
      </c>
      <c r="AZ10" s="3">
        <f>SUM(B10*7)</f>
        <v>7000</v>
      </c>
      <c r="BE10" s="3">
        <v>0</v>
      </c>
      <c r="BF10" s="3">
        <v>0</v>
      </c>
      <c r="BG10" s="17">
        <f t="shared" si="0"/>
        <v>0</v>
      </c>
      <c r="BO10" s="3">
        <f>SUM(B10*2)</f>
        <v>2000</v>
      </c>
      <c r="BR10" s="3">
        <f>SUM(B10*1)</f>
        <v>1000</v>
      </c>
      <c r="BU10" s="3">
        <f>SUM(B10*1)</f>
        <v>1000</v>
      </c>
    </row>
    <row r="11" spans="1:131" x14ac:dyDescent="0.25">
      <c r="A11" s="41" t="s">
        <v>133</v>
      </c>
      <c r="B11" s="16">
        <v>200</v>
      </c>
      <c r="K11" s="3">
        <f>SUM(B11*15)</f>
        <v>3000</v>
      </c>
      <c r="L11" s="3">
        <f>SUM(B11*1)</f>
        <v>200</v>
      </c>
      <c r="M11" s="3">
        <f>SUM(B11*12)</f>
        <v>2400</v>
      </c>
      <c r="N11" s="3">
        <f>SUM(B11*15)</f>
        <v>3000</v>
      </c>
      <c r="P11" s="3">
        <f>SUM(B11*7)</f>
        <v>1400</v>
      </c>
      <c r="R11" s="3">
        <f>SUM(19*B11)</f>
        <v>3800</v>
      </c>
      <c r="S11" s="3">
        <f>SUM(B11*2)</f>
        <v>400</v>
      </c>
      <c r="T11" s="3">
        <f>SUM(B11*2)</f>
        <v>400</v>
      </c>
      <c r="W11" s="3">
        <f>SUM(15*B11)</f>
        <v>3000</v>
      </c>
      <c r="X11" s="3">
        <f>SUM(B11*3)</f>
        <v>600</v>
      </c>
      <c r="Y11" s="3">
        <f>SUM(B11*12)</f>
        <v>2400</v>
      </c>
      <c r="AE11" s="3">
        <f>SUM(B11*1)</f>
        <v>200</v>
      </c>
      <c r="AH11" s="3">
        <f>SUM(B11*1)</f>
        <v>200</v>
      </c>
      <c r="AI11" s="3">
        <f>SUM(B11*1)</f>
        <v>200</v>
      </c>
      <c r="AK11" s="3">
        <f>SUM(B11*2)</f>
        <v>400</v>
      </c>
      <c r="AO11" s="3" t="s">
        <v>66</v>
      </c>
      <c r="AW11" s="3">
        <f>SUM(B11*3)</f>
        <v>600</v>
      </c>
      <c r="AX11" s="3">
        <f>SUM(B11*1)</f>
        <v>200</v>
      </c>
      <c r="AY11" s="3">
        <f>SUM(B11*2)</f>
        <v>400</v>
      </c>
      <c r="BE11" s="3">
        <v>0</v>
      </c>
      <c r="BF11" s="3">
        <v>0</v>
      </c>
      <c r="BG11" s="17">
        <f t="shared" si="0"/>
        <v>0</v>
      </c>
      <c r="CF11" s="3">
        <f>SUM(1*B11)</f>
        <v>200</v>
      </c>
    </row>
    <row r="12" spans="1:131" x14ac:dyDescent="0.25">
      <c r="A12" s="41" t="s">
        <v>177</v>
      </c>
      <c r="B12" s="16">
        <v>230</v>
      </c>
      <c r="C12" s="3">
        <f>SUM(2*B12)</f>
        <v>460</v>
      </c>
      <c r="F12" s="3">
        <f>SUM(B12*16)</f>
        <v>3680</v>
      </c>
      <c r="G12" s="3">
        <f>SUM(1*B12)</f>
        <v>230</v>
      </c>
      <c r="I12" s="3">
        <f>SUM(2*B12)</f>
        <v>460</v>
      </c>
      <c r="K12" s="3">
        <f>SUM(1*B12)</f>
        <v>230</v>
      </c>
      <c r="L12" s="3">
        <f>SUM(12*B12)</f>
        <v>2760</v>
      </c>
      <c r="O12" s="3">
        <f>SUM(5*B12)</f>
        <v>1150</v>
      </c>
      <c r="P12" s="3">
        <f>SUM(3*B12)</f>
        <v>690</v>
      </c>
      <c r="R12" s="3">
        <f>SUM(8*B12)</f>
        <v>1840</v>
      </c>
      <c r="S12" s="17"/>
      <c r="W12" s="3">
        <f>SUM(2*B12)</f>
        <v>460</v>
      </c>
      <c r="Y12" s="3">
        <f>SUM(3*B12)</f>
        <v>690</v>
      </c>
      <c r="Z12" s="3">
        <f>SUM(1*B12)</f>
        <v>230</v>
      </c>
      <c r="AA12" s="3">
        <f>SUM(B12*2)</f>
        <v>460</v>
      </c>
      <c r="AB12" s="3">
        <f>SUM(3*B12)</f>
        <v>690</v>
      </c>
      <c r="AH12" s="3">
        <f>SUM(1*B12)</f>
        <v>230</v>
      </c>
      <c r="AJ12" s="3">
        <f>SUM(B12*3)</f>
        <v>690</v>
      </c>
      <c r="AO12" s="3" t="s">
        <v>67</v>
      </c>
      <c r="AW12" s="3">
        <f>SUM(1*B12)</f>
        <v>230</v>
      </c>
      <c r="BE12" s="3">
        <v>200</v>
      </c>
      <c r="BF12" s="3">
        <v>0</v>
      </c>
      <c r="BG12" s="17">
        <f t="shared" si="0"/>
        <v>200</v>
      </c>
      <c r="BO12" s="3">
        <f>SUM(B12*1)</f>
        <v>230</v>
      </c>
      <c r="BR12" s="3">
        <f>SUM(1*B12)</f>
        <v>230</v>
      </c>
      <c r="BZ12" s="3">
        <f>SUM(B12*1)</f>
        <v>230</v>
      </c>
      <c r="CA12" s="3">
        <f>SUM(2*B12)</f>
        <v>460</v>
      </c>
      <c r="CD12" s="3">
        <f>SUM(1*B12)</f>
        <v>230</v>
      </c>
      <c r="DH12" s="3">
        <f>SUM(1*B12)</f>
        <v>230</v>
      </c>
      <c r="DN12" s="3">
        <f>SUM(B12*1)</f>
        <v>230</v>
      </c>
    </row>
    <row r="13" spans="1:131" x14ac:dyDescent="0.25">
      <c r="A13" s="41" t="s">
        <v>134</v>
      </c>
      <c r="B13" s="16">
        <v>0</v>
      </c>
      <c r="L13" s="3">
        <f>SUM(8*B13)</f>
        <v>0</v>
      </c>
      <c r="O13" s="3">
        <f>SUM(3*B13)</f>
        <v>0</v>
      </c>
      <c r="P13" s="3">
        <f>SUM(5*B13)</f>
        <v>0</v>
      </c>
      <c r="R13" s="3">
        <f>SUM(7*B13)</f>
        <v>0</v>
      </c>
      <c r="W13" s="3">
        <f>SUM(1*B13)</f>
        <v>0</v>
      </c>
      <c r="Y13" s="3">
        <f>SUM(3*B13)</f>
        <v>0</v>
      </c>
      <c r="Z13" s="3">
        <f>SUM(1*B13)</f>
        <v>0</v>
      </c>
      <c r="AC13" s="3">
        <f>SUM(1*B13)</f>
        <v>0</v>
      </c>
      <c r="AE13" s="3">
        <f>SUM(1*B13)</f>
        <v>0</v>
      </c>
      <c r="AH13" s="3">
        <f>SUM(1*B13)</f>
        <v>0</v>
      </c>
      <c r="AJ13" s="3">
        <f>SUM(1*B13)</f>
        <v>0</v>
      </c>
      <c r="AW13" s="3">
        <f>SUM(1*B13)</f>
        <v>0</v>
      </c>
      <c r="BE13" s="3">
        <v>5000</v>
      </c>
      <c r="BG13" s="17">
        <f t="shared" si="0"/>
        <v>5000</v>
      </c>
      <c r="BR13" s="3">
        <f>SUM(1*B13)</f>
        <v>0</v>
      </c>
      <c r="DM13" s="3">
        <f>SUM(1*B13)</f>
        <v>0</v>
      </c>
    </row>
    <row r="14" spans="1:131" x14ac:dyDescent="0.25">
      <c r="A14" s="41" t="s">
        <v>63</v>
      </c>
      <c r="B14" s="16">
        <v>0</v>
      </c>
      <c r="L14" s="3">
        <f>SUM(B14*1 )</f>
        <v>0</v>
      </c>
      <c r="M14" s="3">
        <f>SUM(B14*12)</f>
        <v>0</v>
      </c>
      <c r="N14" s="3">
        <f>SUM(B14*15)</f>
        <v>0</v>
      </c>
      <c r="P14" s="3">
        <f>SUM(B14*7)</f>
        <v>0</v>
      </c>
      <c r="R14" s="3">
        <f>SUM(B14*19)</f>
        <v>0</v>
      </c>
      <c r="S14" s="3">
        <f>SUM(B14*2)</f>
        <v>0</v>
      </c>
      <c r="T14" s="3">
        <f>SUM(B14*2)</f>
        <v>0</v>
      </c>
      <c r="W14" s="3">
        <f>SUM(B14*15)</f>
        <v>0</v>
      </c>
      <c r="X14" s="3">
        <f>SUM(B14*3)</f>
        <v>0</v>
      </c>
      <c r="Y14" s="3">
        <f>SUM(B14*12)</f>
        <v>0</v>
      </c>
      <c r="AE14" s="3">
        <f>SUM(B14*1)</f>
        <v>0</v>
      </c>
      <c r="AI14" s="3">
        <f>SUM(B14*1)</f>
        <v>0</v>
      </c>
      <c r="AK14" s="3">
        <f>SUM(B14*2)</f>
        <v>0</v>
      </c>
      <c r="AO14" s="3" t="s">
        <v>68</v>
      </c>
      <c r="AW14" s="3">
        <f>SUM(B14*2)</f>
        <v>0</v>
      </c>
      <c r="BD14" s="3" t="s">
        <v>37</v>
      </c>
      <c r="BE14" s="3">
        <v>200</v>
      </c>
      <c r="BF14" s="3">
        <v>300</v>
      </c>
      <c r="BG14" s="18">
        <f>SUM(BE14-BF14)</f>
        <v>-100</v>
      </c>
    </row>
    <row r="15" spans="1:131" x14ac:dyDescent="0.25">
      <c r="A15" s="41" t="s">
        <v>185</v>
      </c>
      <c r="B15" s="16">
        <v>0</v>
      </c>
      <c r="K15" s="3">
        <f>SUM(2*B15)</f>
        <v>0</v>
      </c>
      <c r="L15" s="3">
        <f>SUM(10*B15)</f>
        <v>0</v>
      </c>
      <c r="O15" s="3">
        <f>SUM(4*B15)</f>
        <v>0</v>
      </c>
      <c r="P15" s="3">
        <f>SUM(5*B15)</f>
        <v>0</v>
      </c>
      <c r="R15" s="3">
        <f>SUM(10*B15)</f>
        <v>0</v>
      </c>
      <c r="S15" s="3">
        <f>SUM(2*B15)</f>
        <v>0</v>
      </c>
      <c r="W15" s="3">
        <f>SUM(3*B15)</f>
        <v>0</v>
      </c>
      <c r="X15" s="3">
        <f>SUM(1*B15)</f>
        <v>0</v>
      </c>
      <c r="Y15" s="3">
        <f>SUM(B15*4)</f>
        <v>0</v>
      </c>
      <c r="Z15" s="3">
        <f>SUM(2*B15)</f>
        <v>0</v>
      </c>
      <c r="AE15" s="3">
        <f>SUM(1*B15)</f>
        <v>0</v>
      </c>
      <c r="AH15" s="3">
        <f>SUM(1*B15)</f>
        <v>0</v>
      </c>
      <c r="AJ15" s="3">
        <f>SUM(1*B15)</f>
        <v>0</v>
      </c>
      <c r="AN15" s="3">
        <f>SUM(2*B15)</f>
        <v>0</v>
      </c>
      <c r="AW15" s="3">
        <f>SUM(1*B15)</f>
        <v>0</v>
      </c>
      <c r="BB15" s="3">
        <f>SUM(B15*1)</f>
        <v>0</v>
      </c>
      <c r="BE15" s="3">
        <v>1300</v>
      </c>
      <c r="BF15" s="3">
        <v>0</v>
      </c>
      <c r="BG15" s="18">
        <f>SUM(BE15-BF15)</f>
        <v>1300</v>
      </c>
      <c r="BN15" s="3">
        <f>SUM(B15*1)</f>
        <v>0</v>
      </c>
      <c r="BV15" s="3">
        <f>SUM(B15*1)</f>
        <v>0</v>
      </c>
      <c r="BX15" s="3">
        <f>SUM(1*B15)</f>
        <v>0</v>
      </c>
    </row>
    <row r="16" spans="1:131" x14ac:dyDescent="0.25">
      <c r="A16" s="41" t="s">
        <v>178</v>
      </c>
      <c r="B16" s="16">
        <v>4000</v>
      </c>
      <c r="D16" s="20"/>
      <c r="F16" s="3">
        <f>SUM(5*B16)</f>
        <v>20000</v>
      </c>
      <c r="L16" s="3">
        <f>SUM(B16*10)</f>
        <v>40000</v>
      </c>
      <c r="P16" s="3">
        <f>SUM(B16*1)</f>
        <v>4000</v>
      </c>
      <c r="R16" s="3">
        <f>SUM(B16*1)</f>
        <v>4000</v>
      </c>
      <c r="AA16" s="3">
        <f>SUM(5*B16)</f>
        <v>20000</v>
      </c>
      <c r="AB16" s="17"/>
      <c r="BE16" s="3">
        <v>4000</v>
      </c>
      <c r="BF16" s="3">
        <v>1400</v>
      </c>
      <c r="BG16" s="17">
        <f>SUM(BE16-BF16)</f>
        <v>2600</v>
      </c>
      <c r="BO16" s="3">
        <f>SUM(2*B16)</f>
        <v>8000</v>
      </c>
      <c r="BT16" s="3">
        <f>SUM(B16*1)</f>
        <v>4000</v>
      </c>
    </row>
    <row r="17" spans="1:148" x14ac:dyDescent="0.25">
      <c r="A17" s="41" t="s">
        <v>179</v>
      </c>
      <c r="B17" s="16">
        <v>2600</v>
      </c>
      <c r="C17" s="22"/>
      <c r="E17" s="22"/>
      <c r="F17" s="3">
        <f>SUM(5*B17)</f>
        <v>13000</v>
      </c>
      <c r="L17" s="3">
        <f>SUM(B17*10)</f>
        <v>26000</v>
      </c>
      <c r="P17" s="3">
        <f>SUM(B17*1)</f>
        <v>2600</v>
      </c>
      <c r="R17" s="3">
        <f>SUM(B17*1)</f>
        <v>2600</v>
      </c>
      <c r="AA17" s="3">
        <f>SUM(B17*5)</f>
        <v>13000</v>
      </c>
      <c r="BE17" s="3">
        <v>1000</v>
      </c>
      <c r="BF17" s="3">
        <v>2800</v>
      </c>
      <c r="BG17" s="17">
        <f>SUM(BE17-BF17)</f>
        <v>-1800</v>
      </c>
      <c r="BO17" s="3">
        <f>SUM(B17*2)</f>
        <v>5200</v>
      </c>
    </row>
    <row r="18" spans="1:148" x14ac:dyDescent="0.25">
      <c r="A18" s="42" t="s">
        <v>135</v>
      </c>
      <c r="B18" s="23">
        <v>800</v>
      </c>
      <c r="G18" s="3">
        <f>SUM(B18*1)</f>
        <v>800</v>
      </c>
      <c r="J18" s="3">
        <f>SUM(B18*1)</f>
        <v>800</v>
      </c>
      <c r="K18" s="3">
        <f>SUM(B18*2)</f>
        <v>1600</v>
      </c>
      <c r="L18" s="3">
        <f>SUM(B18*10)</f>
        <v>8000</v>
      </c>
      <c r="N18" s="3">
        <f>SUM(B18*15)</f>
        <v>12000</v>
      </c>
      <c r="O18" s="3">
        <f>SUM(B18*36)</f>
        <v>28800</v>
      </c>
      <c r="P18" s="3">
        <f>SUM(B18*3)</f>
        <v>2400</v>
      </c>
      <c r="Q18" s="3">
        <f>SUM(B18*2)</f>
        <v>1600</v>
      </c>
      <c r="R18" s="3">
        <f>SUM(B18*22)</f>
        <v>17600</v>
      </c>
      <c r="S18" s="3">
        <f>SUM(B18*2)</f>
        <v>1600</v>
      </c>
      <c r="U18" s="3">
        <f>SUM(B18*1)</f>
        <v>800</v>
      </c>
      <c r="W18" s="3">
        <f>SUM(B18*14)</f>
        <v>11200</v>
      </c>
      <c r="X18" s="3">
        <f>SUM(B18*3)</f>
        <v>2400</v>
      </c>
      <c r="Y18" s="3">
        <f>SUM(B18*4)</f>
        <v>3200</v>
      </c>
      <c r="Z18" s="3">
        <f>SUM(B18*7)</f>
        <v>5600</v>
      </c>
      <c r="AA18" s="3">
        <f>SUM(B18*8)</f>
        <v>6400</v>
      </c>
      <c r="AB18" s="3">
        <f>SUM(B18*13)</f>
        <v>10400</v>
      </c>
      <c r="AE18" s="3">
        <f>SUM(B18*1)</f>
        <v>800</v>
      </c>
      <c r="AG18" s="3">
        <f>SUM(B18*1)</f>
        <v>800</v>
      </c>
      <c r="AH18" s="3">
        <f>SUM(B18*1)</f>
        <v>800</v>
      </c>
      <c r="AI18" s="3">
        <f>SUM(B18*1)</f>
        <v>800</v>
      </c>
      <c r="AJ18" s="3">
        <f>SUM(B18*4)</f>
        <v>3200</v>
      </c>
      <c r="AL18" s="3">
        <f>SUM(B18*2)</f>
        <v>1600</v>
      </c>
      <c r="AQ18" s="3">
        <f>SUM(B18*1)</f>
        <v>800</v>
      </c>
      <c r="AW18" s="3">
        <f>SUM(B18*2)</f>
        <v>1600</v>
      </c>
      <c r="AX18" s="3">
        <f>SUM(B18*1)</f>
        <v>800</v>
      </c>
      <c r="AY18" s="3">
        <f>SUM(B18*1)</f>
        <v>800</v>
      </c>
      <c r="BA18" s="3">
        <f>SUM(B18*1)</f>
        <v>800</v>
      </c>
      <c r="BE18" s="3">
        <v>600</v>
      </c>
      <c r="BG18" s="18"/>
      <c r="BQ18" s="3">
        <f>SUM(B18*8)</f>
        <v>6400</v>
      </c>
      <c r="BV18" s="3">
        <f>SUM(B18*8)</f>
        <v>6400</v>
      </c>
      <c r="BY18" s="3">
        <f>SUM(B18*1)</f>
        <v>800</v>
      </c>
      <c r="CA18" s="3">
        <f>SUM(B18*8)</f>
        <v>6400</v>
      </c>
    </row>
    <row r="19" spans="1:148" s="77" customFormat="1" x14ac:dyDescent="0.25">
      <c r="A19" s="75" t="s">
        <v>182</v>
      </c>
      <c r="B19" s="76">
        <v>8700</v>
      </c>
      <c r="G19" s="77">
        <f>SUM(B19*1)</f>
        <v>8700</v>
      </c>
      <c r="I19" s="77">
        <f>SUM(2*B19)</f>
        <v>17400</v>
      </c>
      <c r="K19" s="77">
        <v>0</v>
      </c>
      <c r="L19" s="77">
        <f>SUM(B19*5)</f>
        <v>43500</v>
      </c>
      <c r="O19" s="77">
        <f>SUM(B19*4)</f>
        <v>34800</v>
      </c>
      <c r="P19" s="77">
        <f>SUM(B19*3)</f>
        <v>26100</v>
      </c>
      <c r="R19" s="77">
        <f>SUM(B19*8)</f>
        <v>69600</v>
      </c>
      <c r="W19" s="77">
        <f>SUM(B19*2)</f>
        <v>17400</v>
      </c>
      <c r="Y19" s="77">
        <f>SUM(B19*3)</f>
        <v>26100</v>
      </c>
      <c r="Z19" s="77">
        <f>SUM(B19*1)</f>
        <v>8700</v>
      </c>
      <c r="AE19" s="77">
        <f>SUM(B19*1)</f>
        <v>8700</v>
      </c>
      <c r="AH19" s="77">
        <f>SUM(B19*1)</f>
        <v>8700</v>
      </c>
      <c r="AJ19" s="77">
        <f>SUM(B19*1)</f>
        <v>8700</v>
      </c>
      <c r="AW19" s="77">
        <f>SUM(B19*1)</f>
        <v>8700</v>
      </c>
      <c r="BE19" s="77">
        <v>1600</v>
      </c>
      <c r="BF19" s="77">
        <v>1000</v>
      </c>
      <c r="BG19" s="78">
        <v>0</v>
      </c>
      <c r="BR19" s="77">
        <f>SUM(B19*1)</f>
        <v>8700</v>
      </c>
      <c r="BZ19" s="77">
        <f>SUM(B19*1)</f>
        <v>8700</v>
      </c>
      <c r="CA19" s="77">
        <f>SUM(B19*2)</f>
        <v>17400</v>
      </c>
      <c r="CD19" s="77">
        <f>SUM(B19*1)</f>
        <v>8700</v>
      </c>
      <c r="CH19" s="77">
        <f>SUM(1*B19)</f>
        <v>8700</v>
      </c>
      <c r="DR19" s="77">
        <f>SUM(3*B19)</f>
        <v>26100</v>
      </c>
      <c r="DS19" s="77">
        <f>SUM(B19*3)</f>
        <v>26100</v>
      </c>
    </row>
    <row r="20" spans="1:148" x14ac:dyDescent="0.25">
      <c r="A20" s="42" t="s">
        <v>180</v>
      </c>
      <c r="B20" s="16">
        <v>3500</v>
      </c>
      <c r="I20" s="3">
        <f>SUM(14*B20)</f>
        <v>49000</v>
      </c>
      <c r="L20" s="3">
        <f>SUM(B20*4)</f>
        <v>14000</v>
      </c>
      <c r="P20" s="3">
        <f>SUM(B20*1)</f>
        <v>3500</v>
      </c>
      <c r="R20" s="3">
        <f>SUM(B20*2)</f>
        <v>7000</v>
      </c>
      <c r="AA20" s="3">
        <f>SUM(B20*2)</f>
        <v>7000</v>
      </c>
      <c r="AJ20" s="3">
        <f>SUM(B20*2)</f>
        <v>7000</v>
      </c>
      <c r="AZ20" s="3">
        <f>SUM(B20*2)</f>
        <v>7000</v>
      </c>
      <c r="BE20" s="3">
        <v>1600</v>
      </c>
      <c r="BF20" s="3">
        <v>1008</v>
      </c>
      <c r="BG20" s="18">
        <v>-8</v>
      </c>
      <c r="BO20" s="3">
        <f>SUM(B20*2)</f>
        <v>7000</v>
      </c>
    </row>
    <row r="21" spans="1:148" x14ac:dyDescent="0.25">
      <c r="A21" s="42" t="s">
        <v>183</v>
      </c>
      <c r="B21" s="16">
        <v>30</v>
      </c>
      <c r="J21" s="3">
        <f>SUM(5*B21)</f>
        <v>150</v>
      </c>
      <c r="K21" s="3">
        <f>SUM(2*B21)</f>
        <v>60</v>
      </c>
      <c r="L21" s="3">
        <f>SUM(57*B21)</f>
        <v>1710</v>
      </c>
      <c r="N21" s="3">
        <f>SUM(2*B21)</f>
        <v>60</v>
      </c>
      <c r="O21" s="3">
        <f>SUM(B21*41)</f>
        <v>1230</v>
      </c>
      <c r="P21" s="3">
        <f>SUM(2*B21)</f>
        <v>60</v>
      </c>
      <c r="R21" s="3">
        <f>SUM(48*B21)</f>
        <v>1440</v>
      </c>
      <c r="S21" s="3">
        <f>SUM(2*B21)</f>
        <v>60</v>
      </c>
      <c r="T21" s="3">
        <f>SUM(2*B21)</f>
        <v>60</v>
      </c>
      <c r="W21" s="24">
        <f>SUM(B21*5)</f>
        <v>150</v>
      </c>
      <c r="X21" s="3">
        <f>SUM(1*B21)</f>
        <v>30</v>
      </c>
      <c r="Y21" s="3">
        <f>SUM(40*B21)</f>
        <v>1200</v>
      </c>
      <c r="Z21" s="3">
        <f>SUM(1*B21)</f>
        <v>30</v>
      </c>
      <c r="AD21" s="3">
        <f>SUM(1*B21)</f>
        <v>30</v>
      </c>
      <c r="AE21" s="3">
        <f>SUM(1*B21)</f>
        <v>30</v>
      </c>
      <c r="AH21" s="3">
        <f>SUM(1*B21)</f>
        <v>30</v>
      </c>
      <c r="AJ21" s="3">
        <f>SUM(3*B21)</f>
        <v>90</v>
      </c>
      <c r="AK21" s="3">
        <f>SUM(7*B21)</f>
        <v>210</v>
      </c>
      <c r="AL21" s="3">
        <f>SUM(B21*5)</f>
        <v>150</v>
      </c>
      <c r="AP21" s="3">
        <f>SUM(1*B21)</f>
        <v>30</v>
      </c>
      <c r="AW21" s="3">
        <f>SUM(2*B21)</f>
        <v>60</v>
      </c>
      <c r="BE21" s="3">
        <v>0</v>
      </c>
      <c r="BG21" s="18"/>
      <c r="CA21" s="3">
        <f>SUM(B21*4)</f>
        <v>120</v>
      </c>
      <c r="CJ21" s="3">
        <f>SUM(1*B21)</f>
        <v>30</v>
      </c>
    </row>
    <row r="22" spans="1:148" x14ac:dyDescent="0.25">
      <c r="A22" s="41" t="s">
        <v>142</v>
      </c>
      <c r="B22" s="16">
        <v>0</v>
      </c>
      <c r="C22" s="3">
        <f>SUM(2*B22)</f>
        <v>0</v>
      </c>
      <c r="E22" s="3">
        <f>SUM(1*B22)</f>
        <v>0</v>
      </c>
      <c r="L22" s="3" t="s">
        <v>37</v>
      </c>
      <c r="O22" s="3">
        <f>SUM(7*B22)</f>
        <v>0</v>
      </c>
      <c r="P22" s="3">
        <f>SUM(3*B22)</f>
        <v>0</v>
      </c>
      <c r="R22" s="3">
        <f>SUM(8*B22)</f>
        <v>0</v>
      </c>
      <c r="W22" s="3">
        <f>SUM(2*B22)</f>
        <v>0</v>
      </c>
      <c r="Y22" s="3">
        <f>SUM(4*B22)</f>
        <v>0</v>
      </c>
      <c r="Z22" s="3">
        <f>SUM(1*B22)</f>
        <v>0</v>
      </c>
      <c r="AH22" s="3">
        <f>SUM(1*B22)</f>
        <v>0</v>
      </c>
      <c r="AJ22" s="3">
        <f>SUM(1*B22)</f>
        <v>0</v>
      </c>
      <c r="AW22" s="3">
        <f>SUM(1*B22)</f>
        <v>0</v>
      </c>
      <c r="BE22" s="3">
        <v>0</v>
      </c>
      <c r="BG22" s="18"/>
      <c r="BR22" s="3">
        <f>SUM(1*B11)</f>
        <v>200</v>
      </c>
      <c r="BZ22" s="3">
        <f>SUM(1*B22)</f>
        <v>0</v>
      </c>
      <c r="CD22" s="3">
        <f>SUM(1*B22)</f>
        <v>0</v>
      </c>
      <c r="CH22" s="3">
        <f>SUM(1*B22)</f>
        <v>0</v>
      </c>
    </row>
    <row r="23" spans="1:148" x14ac:dyDescent="0.25">
      <c r="A23" s="41" t="s">
        <v>141</v>
      </c>
      <c r="B23" s="23">
        <v>100</v>
      </c>
      <c r="C23" s="3" t="s">
        <v>37</v>
      </c>
      <c r="I23" s="3">
        <f>SUM(2*B23)</f>
        <v>200</v>
      </c>
      <c r="L23" s="3">
        <f>SUM(5*B23)</f>
        <v>500</v>
      </c>
      <c r="O23" s="3">
        <f>SUM(4*B23)</f>
        <v>400</v>
      </c>
      <c r="P23" s="24">
        <f>SUM(3*B23)</f>
        <v>300</v>
      </c>
      <c r="R23" s="3">
        <f>SUM(7*B23)</f>
        <v>700</v>
      </c>
      <c r="W23" s="3">
        <f>SUM(2*B23)</f>
        <v>200</v>
      </c>
      <c r="Y23" s="3">
        <f>SUM(3*B23)</f>
        <v>300</v>
      </c>
      <c r="Z23" s="3">
        <f>SUM(1*B23)</f>
        <v>100</v>
      </c>
      <c r="AH23" s="3">
        <f>SUM(1*B23)</f>
        <v>100</v>
      </c>
      <c r="AJ23" s="3">
        <f>SUM(2*B23)</f>
        <v>200</v>
      </c>
      <c r="AQ23" s="3">
        <f>SUM(1*B23)</f>
        <v>100</v>
      </c>
      <c r="AW23" s="3">
        <f>SUM(1*B23)</f>
        <v>100</v>
      </c>
      <c r="BE23" s="3">
        <v>0</v>
      </c>
      <c r="BR23" s="3">
        <f>SUM(1*B23)</f>
        <v>100</v>
      </c>
      <c r="BZ23" s="3">
        <f>SUM(1*B23)</f>
        <v>100</v>
      </c>
      <c r="CA23" s="3">
        <f>SUM(B23*2)</f>
        <v>200</v>
      </c>
      <c r="CD23" s="3">
        <f>SUM(1*B23)</f>
        <v>100</v>
      </c>
      <c r="CL23" s="3">
        <f>SUM(7*B23)</f>
        <v>700</v>
      </c>
      <c r="CN23" s="3">
        <f>SUM(1*B23)</f>
        <v>100</v>
      </c>
      <c r="DL23" s="3">
        <f>SUM(B23*1)</f>
        <v>100</v>
      </c>
      <c r="DN23" s="3">
        <f>SUM(B23*1)</f>
        <v>100</v>
      </c>
      <c r="DT23" s="3">
        <f>SUM(B23*2)</f>
        <v>200</v>
      </c>
    </row>
    <row r="24" spans="1:148" x14ac:dyDescent="0.25">
      <c r="A24" s="41" t="s">
        <v>208</v>
      </c>
      <c r="B24" s="23">
        <v>300</v>
      </c>
      <c r="C24" s="3">
        <f>SUM(1*B24)</f>
        <v>300</v>
      </c>
      <c r="I24" s="3">
        <f>SUM(2*B24)</f>
        <v>600</v>
      </c>
      <c r="L24" s="3">
        <f>SUM(6*B24)</f>
        <v>1800</v>
      </c>
      <c r="N24" s="2"/>
      <c r="O24" s="2">
        <f>SUM(4*B24)</f>
        <v>1200</v>
      </c>
      <c r="P24" s="2">
        <f>SUM(3*B24)</f>
        <v>900</v>
      </c>
      <c r="Q24" s="2"/>
      <c r="R24" s="2">
        <f>SUM(8*B24)</f>
        <v>2400</v>
      </c>
      <c r="S24" s="2"/>
      <c r="T24" s="2"/>
      <c r="U24" s="2"/>
      <c r="V24" s="2"/>
      <c r="W24" s="2">
        <f>SUM(2*B24)</f>
        <v>600</v>
      </c>
      <c r="X24" s="2"/>
      <c r="Y24" s="2">
        <f>SUM(3*B24)</f>
        <v>900</v>
      </c>
      <c r="Z24" s="2">
        <f>SUM(1*B24)</f>
        <v>300</v>
      </c>
      <c r="AA24" s="2"/>
      <c r="AB24" s="2"/>
      <c r="AH24" s="3">
        <f>SUM(1*B24)</f>
        <v>300</v>
      </c>
      <c r="AJ24" s="3">
        <f>SUM(1*B24)</f>
        <v>300</v>
      </c>
      <c r="AW24" s="3">
        <f>SUM(1*B24)</f>
        <v>300</v>
      </c>
      <c r="BE24" s="3">
        <v>0</v>
      </c>
      <c r="BX24" s="25"/>
      <c r="BZ24" s="3">
        <f>SUM(1*B24)</f>
        <v>300</v>
      </c>
      <c r="CA24" s="3">
        <f>SUM(2*B24)</f>
        <v>600</v>
      </c>
      <c r="CH24" s="3">
        <f>SUM(1*B24)</f>
        <v>300</v>
      </c>
      <c r="CN24" s="3">
        <f>SUM(1*B5)</f>
        <v>500</v>
      </c>
      <c r="DL24" s="3">
        <f>SUM(1*B24)</f>
        <v>300</v>
      </c>
    </row>
    <row r="25" spans="1:148" ht="15.75" x14ac:dyDescent="0.25">
      <c r="A25" s="43" t="s">
        <v>187</v>
      </c>
      <c r="B25" s="23">
        <v>0</v>
      </c>
      <c r="K25" s="3">
        <f>SUM(B25*2)</f>
        <v>0</v>
      </c>
      <c r="L25" s="3">
        <f>SUM(B25*23)</f>
        <v>0</v>
      </c>
      <c r="N25" s="3">
        <f>SUM(B25*2)</f>
        <v>0</v>
      </c>
      <c r="O25" s="3">
        <f>SUM(B25*20)</f>
        <v>0</v>
      </c>
      <c r="P25" s="3">
        <f>SUM(B25*2)</f>
        <v>0</v>
      </c>
      <c r="R25" s="3">
        <f>SUM(B25*25)</f>
        <v>0</v>
      </c>
      <c r="W25" s="3">
        <f>SUM(B25*4)</f>
        <v>0</v>
      </c>
      <c r="X25" s="3">
        <f>SUM(B25*3)</f>
        <v>0</v>
      </c>
      <c r="Z25" s="2">
        <f>SUM(B25*1)</f>
        <v>0</v>
      </c>
      <c r="AA25" s="2"/>
      <c r="AB25" s="2">
        <f>SUM(B25*1)</f>
        <v>0</v>
      </c>
      <c r="AC25" s="1"/>
      <c r="AD25" s="26"/>
      <c r="AE25" s="26">
        <f>SUM(B25*1)</f>
        <v>0</v>
      </c>
      <c r="AF25" s="26"/>
      <c r="AG25" s="1"/>
      <c r="AH25" s="26">
        <f>SUM(B25*1)</f>
        <v>0</v>
      </c>
      <c r="AI25" s="1"/>
      <c r="AJ25" s="26">
        <f>SUM(B25*3)</f>
        <v>0</v>
      </c>
      <c r="AK25" s="1"/>
      <c r="AL25" s="1"/>
      <c r="AM25" s="1"/>
      <c r="AN25" s="1"/>
      <c r="AO25" s="1"/>
      <c r="AP25" s="26"/>
      <c r="AQ25" s="1">
        <f>SUM(B25*3)</f>
        <v>0</v>
      </c>
      <c r="AR25" s="1"/>
      <c r="AS25" s="1"/>
      <c r="AT25" s="1"/>
      <c r="AU25" s="1"/>
      <c r="AV25" s="1"/>
      <c r="AW25" s="1">
        <f>SUM(B25*4)</f>
        <v>0</v>
      </c>
      <c r="AX25" s="1"/>
      <c r="AY25" s="1"/>
      <c r="AZ25" s="26"/>
      <c r="BA25" s="1"/>
      <c r="BB25" s="1"/>
      <c r="BC25" s="26"/>
      <c r="BD25" s="1">
        <f>SUM(B25*1)</f>
        <v>0</v>
      </c>
      <c r="BI25" s="1"/>
      <c r="BJ25" s="1"/>
      <c r="BK25" s="1"/>
      <c r="BL25" s="1"/>
      <c r="BM25" s="1"/>
      <c r="BN25" s="1"/>
      <c r="BO25" s="26">
        <f>SUM(B25*2)</f>
        <v>0</v>
      </c>
      <c r="BP25" s="2"/>
      <c r="BQ25" s="26"/>
      <c r="BR25" s="1">
        <f>SUM(B25*1)</f>
        <v>0</v>
      </c>
      <c r="BS25" s="2"/>
      <c r="BT25" s="26"/>
      <c r="BU25" s="1"/>
      <c r="BV25" s="1"/>
      <c r="BW25" s="1"/>
      <c r="BX25" s="1"/>
      <c r="BY25" s="26"/>
      <c r="BZ25" s="1">
        <f>SUM(B25*1)</f>
        <v>0</v>
      </c>
      <c r="CA25" s="1">
        <f>SUM(B25*6)</f>
        <v>0</v>
      </c>
      <c r="CB25" s="1"/>
      <c r="CD25" s="3">
        <f>SUM(B25*1)</f>
        <v>0</v>
      </c>
      <c r="DA25" s="3">
        <f>SUM(B25*1)</f>
        <v>0</v>
      </c>
      <c r="DU25" s="3">
        <f>SUM(B25*1)</f>
        <v>0</v>
      </c>
      <c r="DW25" s="3">
        <f>SUM(B25*4)</f>
        <v>0</v>
      </c>
      <c r="EL25" s="3">
        <f>SUM(B25*18)</f>
        <v>0</v>
      </c>
      <c r="EN25" s="3">
        <f>SUM(B25*2)</f>
        <v>0</v>
      </c>
      <c r="EO25" s="3">
        <f>SUM(B25*6)</f>
        <v>0</v>
      </c>
      <c r="EP25" s="3">
        <f>SUM(B25*1)</f>
        <v>0</v>
      </c>
      <c r="ER25" s="3">
        <f>SUM(5*B25)</f>
        <v>0</v>
      </c>
    </row>
    <row r="26" spans="1:148" x14ac:dyDescent="0.25">
      <c r="A26" s="41" t="s">
        <v>97</v>
      </c>
      <c r="B26" s="16">
        <v>0</v>
      </c>
      <c r="C26" s="3">
        <f>SUM(1*B26)</f>
        <v>0</v>
      </c>
      <c r="E26" s="3">
        <f>SUM(B26*1)</f>
        <v>0</v>
      </c>
      <c r="F26" s="3">
        <f>SUM(B26*2)</f>
        <v>0</v>
      </c>
      <c r="K26" s="3">
        <f>SUM(1*B26)</f>
        <v>0</v>
      </c>
      <c r="L26" s="3">
        <f>SUM(8*B26)</f>
        <v>0</v>
      </c>
      <c r="M26" s="2"/>
      <c r="N26" s="2">
        <f>SUM(1*B26)</f>
        <v>0</v>
      </c>
      <c r="O26" s="2">
        <f>SUM(B26*8)</f>
        <v>0</v>
      </c>
      <c r="P26" s="2">
        <f>SUM(3*B26)</f>
        <v>0</v>
      </c>
      <c r="Q26" s="2"/>
      <c r="R26" s="2">
        <f>SUM(17*B26)</f>
        <v>0</v>
      </c>
      <c r="S26" s="2"/>
      <c r="T26" s="2"/>
      <c r="U26" s="2"/>
      <c r="V26" s="2">
        <f>SUM(4*B26)</f>
        <v>0</v>
      </c>
      <c r="W26" s="2">
        <f>SUM(5*B26)</f>
        <v>0</v>
      </c>
      <c r="X26" s="3">
        <f>SUM(B26*1)</f>
        <v>0</v>
      </c>
      <c r="Y26" s="3">
        <f>SUM(B26*4)</f>
        <v>0</v>
      </c>
      <c r="Z26" s="27">
        <f>SUM(1*B26)</f>
        <v>0</v>
      </c>
      <c r="AE26" s="3">
        <f>SUM(1*B26)</f>
        <v>0</v>
      </c>
      <c r="AH26" s="3">
        <f t="shared" ref="AH26:AH42" si="1">SUM(1*B26)</f>
        <v>0</v>
      </c>
      <c r="AJ26" s="3">
        <f>SUM(1*B26)</f>
        <v>0</v>
      </c>
      <c r="AW26" s="3">
        <f>SUM(2*B26)</f>
        <v>0</v>
      </c>
      <c r="AY26" s="3">
        <f>SUM(1*B26)</f>
        <v>0</v>
      </c>
      <c r="BE26" s="3">
        <v>0</v>
      </c>
      <c r="BI26" s="18"/>
      <c r="BJ26" s="18"/>
      <c r="BK26" s="18"/>
      <c r="BL26" s="18"/>
      <c r="BM26" s="18"/>
      <c r="BR26" s="3">
        <f>SUM(1*B26)</f>
        <v>0</v>
      </c>
      <c r="BU26" s="3">
        <f>SUM(1*B26)</f>
        <v>0</v>
      </c>
      <c r="BV26" s="3">
        <f>SUM(B26*1)</f>
        <v>0</v>
      </c>
      <c r="BZ26" s="3">
        <f>SUM(2*B26)</f>
        <v>0</v>
      </c>
      <c r="CA26" s="3">
        <f>SUM(B26*4)</f>
        <v>0</v>
      </c>
      <c r="CD26" s="3">
        <f>SUM(B26*1)</f>
        <v>0</v>
      </c>
      <c r="CP26" s="3">
        <f>SUM(1*B26)</f>
        <v>0</v>
      </c>
      <c r="CR26" s="3">
        <f>SUM(1*B26)</f>
        <v>0</v>
      </c>
      <c r="CX26" s="3">
        <f>SUM(B26*1)</f>
        <v>0</v>
      </c>
      <c r="CZ26" s="3">
        <f>SUM(B26*1)</f>
        <v>0</v>
      </c>
      <c r="EF26" s="3">
        <f>SUM(B26*1)</f>
        <v>0</v>
      </c>
      <c r="EH26" s="3">
        <f>SUM(B26*1)</f>
        <v>0</v>
      </c>
      <c r="EK26" s="3">
        <f>SUM(B26*2)</f>
        <v>0</v>
      </c>
    </row>
    <row r="27" spans="1:148" x14ac:dyDescent="0.25">
      <c r="A27" s="44" t="s">
        <v>176</v>
      </c>
      <c r="B27" s="23">
        <v>500</v>
      </c>
      <c r="G27" s="3">
        <f>SUM(2*B27)</f>
        <v>1000</v>
      </c>
      <c r="I27" s="3">
        <f>SUM(P3:P42)</f>
        <v>163664</v>
      </c>
      <c r="K27" s="3">
        <f>SUM(2*B27)</f>
        <v>1000</v>
      </c>
      <c r="L27" s="3">
        <f>SUM(12*B27)</f>
        <v>6000</v>
      </c>
      <c r="N27" s="2">
        <f>SUM(4*B27)</f>
        <v>2000</v>
      </c>
      <c r="O27" s="2">
        <f>SUM(8*B27)</f>
        <v>4000</v>
      </c>
      <c r="P27" s="2">
        <f>SUM(9*B27)</f>
        <v>4500</v>
      </c>
      <c r="Q27" s="2"/>
      <c r="R27" s="2">
        <f>SUM(19*B27)</f>
        <v>9500</v>
      </c>
      <c r="S27" s="2"/>
      <c r="T27" s="2"/>
      <c r="U27" s="2"/>
      <c r="V27" s="2"/>
      <c r="W27" s="2">
        <f>SUM(4*B27)</f>
        <v>2000</v>
      </c>
      <c r="X27" s="2">
        <f>SUM(1*B27)</f>
        <v>500</v>
      </c>
      <c r="Y27" s="2">
        <f>SUM(8*B27)</f>
        <v>4000</v>
      </c>
      <c r="Z27" s="2">
        <f>SUM(1*B27)</f>
        <v>500</v>
      </c>
      <c r="AA27" s="2"/>
      <c r="AB27" s="2"/>
      <c r="AC27" s="2"/>
      <c r="AD27" s="2"/>
      <c r="AE27" s="2">
        <f>SUM(1*B27)</f>
        <v>500</v>
      </c>
      <c r="AF27" s="2"/>
      <c r="AG27" s="2"/>
      <c r="AH27" s="2">
        <f t="shared" si="1"/>
        <v>500</v>
      </c>
      <c r="AI27" s="2"/>
      <c r="AJ27" s="2">
        <f>SUM(1*B27)</f>
        <v>500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>
        <f>SUM(4*B27)</f>
        <v>2000</v>
      </c>
      <c r="AX27" s="2"/>
      <c r="AY27" s="2"/>
      <c r="AZ27" s="2"/>
      <c r="BA27" s="2"/>
      <c r="BB27" s="2"/>
      <c r="BC27" s="2"/>
      <c r="BD27" s="2"/>
      <c r="BE27" s="2">
        <v>400</v>
      </c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>
        <f>SUM(1*B27)</f>
        <v>500</v>
      </c>
      <c r="BS27" s="2"/>
      <c r="BT27" s="2"/>
      <c r="BU27" s="2"/>
      <c r="BV27" s="2"/>
      <c r="BW27" s="2"/>
      <c r="BX27" s="2"/>
      <c r="BY27" s="2"/>
      <c r="BZ27" s="2">
        <f>SUM(1*B27)</f>
        <v>500</v>
      </c>
      <c r="CA27" s="2">
        <f>SUM(B27*6)</f>
        <v>3000</v>
      </c>
      <c r="CB27" s="2"/>
      <c r="CC27" s="2"/>
      <c r="CD27" s="2">
        <f>SUM(1*B27)</f>
        <v>500</v>
      </c>
      <c r="CE27" s="2"/>
      <c r="CF27" s="2"/>
      <c r="CG27" s="2"/>
      <c r="DA27" s="3">
        <f>SUM(1*B27)</f>
        <v>500</v>
      </c>
    </row>
    <row r="28" spans="1:148" x14ac:dyDescent="0.25">
      <c r="A28" s="44" t="s">
        <v>104</v>
      </c>
      <c r="B28" s="23">
        <v>500</v>
      </c>
      <c r="C28" s="3">
        <f>SUM(B28*14)</f>
        <v>7000</v>
      </c>
      <c r="G28" s="3">
        <f>SUM(4*B28)</f>
        <v>2000</v>
      </c>
      <c r="K28" s="3">
        <f>SUM(14*B28)</f>
        <v>7000</v>
      </c>
      <c r="L28" s="3">
        <f>SUM(14*B28)</f>
        <v>7000</v>
      </c>
      <c r="M28" s="3">
        <f>SUM(8*B28)</f>
        <v>4000</v>
      </c>
      <c r="N28" s="3">
        <f>SUM(55*B28)</f>
        <v>27500</v>
      </c>
      <c r="O28" s="3">
        <f>SUM(8*B28)</f>
        <v>4000</v>
      </c>
      <c r="P28" s="2">
        <f>SUM(20*B28)</f>
        <v>10000</v>
      </c>
      <c r="R28" s="3">
        <f>SUM(44*B28)</f>
        <v>22000</v>
      </c>
      <c r="S28" s="3">
        <f>SUM(B28*2)</f>
        <v>1000</v>
      </c>
      <c r="T28" s="3">
        <f>SUM(B28*2)</f>
        <v>1000</v>
      </c>
      <c r="W28" s="3">
        <f>SUM(39*B28)</f>
        <v>19500</v>
      </c>
      <c r="X28" s="3">
        <f>SUM(1*B28)</f>
        <v>500</v>
      </c>
      <c r="Y28" s="3">
        <f>SUM(B28*24)</f>
        <v>12000</v>
      </c>
      <c r="Z28" s="2">
        <f>SUM(26*B28)</f>
        <v>13000</v>
      </c>
      <c r="AB28" s="3">
        <f>SUM(12*B28)</f>
        <v>6000</v>
      </c>
      <c r="AE28" s="3">
        <f>SUM(1*B28)</f>
        <v>500</v>
      </c>
      <c r="AG28" s="3">
        <f>SUM(1*B28)</f>
        <v>500</v>
      </c>
      <c r="AH28" s="3">
        <f t="shared" si="1"/>
        <v>500</v>
      </c>
      <c r="AI28" s="3">
        <f>SUM(B28*1)</f>
        <v>500</v>
      </c>
      <c r="AJ28" s="3">
        <f>SUM(1*B28)</f>
        <v>500</v>
      </c>
      <c r="AK28" s="3">
        <f>SUM(4*B28)</f>
        <v>2000</v>
      </c>
      <c r="AO28" s="3">
        <f>SUM(3*B28)</f>
        <v>1500</v>
      </c>
      <c r="AQ28" s="3">
        <f>SUM(1*B28)</f>
        <v>500</v>
      </c>
      <c r="AW28" s="3">
        <f>SUM(7*B28)</f>
        <v>3500</v>
      </c>
      <c r="BE28" s="3">
        <v>300</v>
      </c>
      <c r="BR28" s="3">
        <f>SUM(1*B28)</f>
        <v>500</v>
      </c>
      <c r="BS28" s="3">
        <f>SUM(1*B28)</f>
        <v>500</v>
      </c>
      <c r="BY28" s="3">
        <f>SUM(B28*1)</f>
        <v>500</v>
      </c>
      <c r="CA28" s="3">
        <f>SUM(10*B28)</f>
        <v>5000</v>
      </c>
      <c r="DC28" s="3">
        <f>SUM(1*B28)</f>
        <v>500</v>
      </c>
      <c r="DF28" s="3">
        <f>SUM(B28*18)</f>
        <v>9000</v>
      </c>
    </row>
    <row r="29" spans="1:148" x14ac:dyDescent="0.25">
      <c r="A29" s="44" t="s">
        <v>140</v>
      </c>
      <c r="B29" s="23">
        <v>1880</v>
      </c>
      <c r="C29" s="18">
        <f>SUM(1*B29)</f>
        <v>1880</v>
      </c>
      <c r="G29" s="3">
        <f>SUM(1*B29)</f>
        <v>1880</v>
      </c>
      <c r="I29" s="3">
        <f>SUM(B29*2)</f>
        <v>3760</v>
      </c>
      <c r="K29" s="3">
        <f>SUM(1*B29)</f>
        <v>1880</v>
      </c>
      <c r="L29" s="3">
        <f>SUM(5*B29)</f>
        <v>9400</v>
      </c>
      <c r="O29" s="3">
        <f>SUM(4*B29)</f>
        <v>7520</v>
      </c>
      <c r="P29" s="3">
        <f>SUM(3*B29)</f>
        <v>5640</v>
      </c>
      <c r="R29" s="3">
        <f>SUM(7*B29)</f>
        <v>13160</v>
      </c>
      <c r="W29" s="3">
        <f>SUM(2*B29)</f>
        <v>3760</v>
      </c>
      <c r="Y29" s="3">
        <f>SUM(B29*3)</f>
        <v>5640</v>
      </c>
      <c r="Z29" s="2">
        <f>SUM(1*B29)</f>
        <v>1880</v>
      </c>
      <c r="AH29" s="3">
        <f t="shared" si="1"/>
        <v>1880</v>
      </c>
      <c r="AJ29" s="3">
        <f>SUM(2*B29)</f>
        <v>3760</v>
      </c>
      <c r="AQ29" s="3">
        <f>SUM(B29*1)</f>
        <v>1880</v>
      </c>
      <c r="AW29" s="3">
        <f>SUM(1*B29)</f>
        <v>1880</v>
      </c>
      <c r="BD29" s="3">
        <f>SUM(B29*1)</f>
        <v>1880</v>
      </c>
      <c r="BE29" s="3">
        <v>2500</v>
      </c>
      <c r="BO29" s="3">
        <f>SUM(B29*1)</f>
        <v>1880</v>
      </c>
      <c r="BR29" s="3">
        <f>SUM(1*B29)</f>
        <v>1880</v>
      </c>
      <c r="BZ29" s="3">
        <f>SUM(1*B29)</f>
        <v>1880</v>
      </c>
      <c r="CA29" s="3">
        <f>SUM(2*B29)</f>
        <v>3760</v>
      </c>
      <c r="CD29" s="3">
        <f>SUM(B29*1)</f>
        <v>1880</v>
      </c>
      <c r="CL29" s="3">
        <f>SUM(7*B29)</f>
        <v>13160</v>
      </c>
      <c r="DH29" s="3">
        <f>SUM(B29*1)</f>
        <v>1880</v>
      </c>
      <c r="DT29" s="3">
        <f>SUM(B29*2)</f>
        <v>3760</v>
      </c>
    </row>
    <row r="30" spans="1:148" x14ac:dyDescent="0.25">
      <c r="A30" s="44" t="s">
        <v>136</v>
      </c>
      <c r="B30" s="23">
        <v>30</v>
      </c>
      <c r="E30" s="3">
        <f>SUM(B30*11)</f>
        <v>330</v>
      </c>
      <c r="I30" s="3">
        <f>MAX(10*B30)</f>
        <v>300</v>
      </c>
      <c r="K30" s="3">
        <f>SUM(B30*30)</f>
        <v>900</v>
      </c>
      <c r="L30" s="24">
        <f>SUM(15*B30)</f>
        <v>450</v>
      </c>
      <c r="M30" s="3">
        <f>SUM(B30*18)</f>
        <v>540</v>
      </c>
      <c r="N30" s="3">
        <f>SUM(40*B30)</f>
        <v>1200</v>
      </c>
      <c r="O30" s="3">
        <f>MAX(20*B30)</f>
        <v>600</v>
      </c>
      <c r="P30" s="3">
        <f>MAX(19*B30)</f>
        <v>570</v>
      </c>
      <c r="R30" s="3">
        <f>MAX(34*B30)</f>
        <v>1020</v>
      </c>
      <c r="S30" s="3">
        <f>SUM(B30*2)</f>
        <v>60</v>
      </c>
      <c r="U30" s="3">
        <f>SUM(B30*1)</f>
        <v>30</v>
      </c>
      <c r="W30" s="3">
        <f>MAX(33*B30)</f>
        <v>990</v>
      </c>
      <c r="X30" s="3">
        <f>SUM(15*B30)</f>
        <v>450</v>
      </c>
      <c r="Y30" s="3">
        <f>MAX(18*B30)</f>
        <v>540</v>
      </c>
      <c r="Z30" s="2">
        <f>SUM(1*B30)</f>
        <v>30</v>
      </c>
      <c r="AA30" s="3">
        <f>SUM(18*B30)</f>
        <v>540</v>
      </c>
      <c r="AD30" s="3">
        <f>SUM(1*B30)</f>
        <v>30</v>
      </c>
      <c r="AE30" s="3">
        <f>SUM(1*B29)</f>
        <v>1880</v>
      </c>
      <c r="AG30" s="3">
        <f>SUM(1*B30)</f>
        <v>30</v>
      </c>
      <c r="AH30" s="3">
        <f t="shared" si="1"/>
        <v>30</v>
      </c>
      <c r="AI30" s="3">
        <f>SUM(B30*1)</f>
        <v>30</v>
      </c>
      <c r="AJ30" s="3">
        <f>SUM(4*B30)</f>
        <v>120</v>
      </c>
      <c r="AK30" s="3">
        <f>SUM(5*B30)</f>
        <v>150</v>
      </c>
      <c r="AQ30" s="3">
        <f>SUM(B30*12)</f>
        <v>360</v>
      </c>
      <c r="AR30" s="3">
        <f>SUM(B30*1)</f>
        <v>30</v>
      </c>
      <c r="AT30" s="3">
        <f>SUM(BC3:BC42)</f>
        <v>500</v>
      </c>
      <c r="AW30" s="3">
        <f>MAX(4*B30)</f>
        <v>120</v>
      </c>
      <c r="AX30" s="3">
        <f>SUM(B30*1)</f>
        <v>30</v>
      </c>
      <c r="AY30" s="3">
        <f>SUM(B30*13)</f>
        <v>390</v>
      </c>
      <c r="BE30" s="3">
        <v>100</v>
      </c>
    </row>
    <row r="31" spans="1:148" x14ac:dyDescent="0.25">
      <c r="A31" s="44" t="s">
        <v>209</v>
      </c>
      <c r="B31" s="23">
        <v>1320</v>
      </c>
      <c r="C31" s="3">
        <f>SUM(B31*1)</f>
        <v>1320</v>
      </c>
      <c r="E31" s="3">
        <f>SUM(B31*1)</f>
        <v>1320</v>
      </c>
      <c r="I31" s="3">
        <f>SUM(B31*2)</f>
        <v>2640</v>
      </c>
      <c r="K31" s="3">
        <f>SUM(B31*1)</f>
        <v>1320</v>
      </c>
      <c r="L31" s="3">
        <f>SUM(B31*6)</f>
        <v>7920</v>
      </c>
      <c r="O31" s="3">
        <f>SUM(B31*7)</f>
        <v>9240</v>
      </c>
      <c r="P31" s="3">
        <f>SUM(B31*3)</f>
        <v>3960</v>
      </c>
      <c r="R31" s="3">
        <f>SUM(B31*8)</f>
        <v>10560</v>
      </c>
      <c r="W31" s="3">
        <f>SUM(B31*2)</f>
        <v>2640</v>
      </c>
      <c r="Y31" s="3">
        <f>SUM(B31*4)</f>
        <v>5280</v>
      </c>
      <c r="Z31" s="2">
        <f>SUM(1*B31)</f>
        <v>1320</v>
      </c>
      <c r="AA31" s="28"/>
      <c r="AH31" s="3">
        <f t="shared" si="1"/>
        <v>1320</v>
      </c>
      <c r="AJ31" s="3">
        <f>SUM(B31*1)</f>
        <v>1320</v>
      </c>
      <c r="BE31" s="3">
        <v>3300</v>
      </c>
      <c r="BR31" s="3">
        <f>SUM(1*B31)</f>
        <v>1320</v>
      </c>
      <c r="BZ31" s="3">
        <f>SUM(B31*1)</f>
        <v>1320</v>
      </c>
      <c r="CA31" s="3">
        <f>SUM(B31*2)</f>
        <v>2640</v>
      </c>
      <c r="CD31" s="3">
        <f>SUM(B31*1)</f>
        <v>1320</v>
      </c>
      <c r="CH31" s="3">
        <f>SUM(B31*1)</f>
        <v>1320</v>
      </c>
    </row>
    <row r="32" spans="1:148" x14ac:dyDescent="0.25">
      <c r="A32" s="44" t="s">
        <v>139</v>
      </c>
      <c r="B32" s="23">
        <v>290</v>
      </c>
      <c r="C32" s="3">
        <f>SUM(B32*1)</f>
        <v>290</v>
      </c>
      <c r="E32" s="3">
        <f>SUM(B32*1)</f>
        <v>290</v>
      </c>
      <c r="I32" s="3">
        <f>SUM(B32*2)</f>
        <v>580</v>
      </c>
      <c r="L32" s="3">
        <f>SUM(6*B32)</f>
        <v>1740</v>
      </c>
      <c r="O32" s="3">
        <f>SUM(B32*7)</f>
        <v>2030</v>
      </c>
      <c r="P32" s="3">
        <f>SUM(3*B32)</f>
        <v>870</v>
      </c>
      <c r="R32" s="3">
        <f>SUM(B32*8)</f>
        <v>2320</v>
      </c>
      <c r="W32" s="3">
        <f>SUM(2*B32)</f>
        <v>580</v>
      </c>
      <c r="Y32" s="3">
        <f>SUM(B32*4)</f>
        <v>1160</v>
      </c>
      <c r="Z32" s="2">
        <f>SUM(1*B32)</f>
        <v>290</v>
      </c>
      <c r="AH32" s="3">
        <f t="shared" si="1"/>
        <v>290</v>
      </c>
      <c r="AJ32" s="3">
        <f>SUM(1*B32)</f>
        <v>290</v>
      </c>
      <c r="AN32" s="17"/>
      <c r="AW32" s="3">
        <f>SUM(B32*1)</f>
        <v>290</v>
      </c>
      <c r="BE32" s="3">
        <v>0</v>
      </c>
      <c r="BR32" s="3">
        <f>SUM(2*B32)</f>
        <v>580</v>
      </c>
      <c r="BZ32" s="3">
        <f>SUM(1*B32)</f>
        <v>290</v>
      </c>
      <c r="CA32" s="3">
        <f>SUM(B32*2)</f>
        <v>580</v>
      </c>
      <c r="CD32" s="3">
        <f>SUM(B32*1)</f>
        <v>290</v>
      </c>
      <c r="CH32" s="3">
        <f>SUM(1*B32)</f>
        <v>290</v>
      </c>
    </row>
    <row r="33" spans="1:163" x14ac:dyDescent="0.25">
      <c r="A33" s="44" t="s">
        <v>156</v>
      </c>
      <c r="B33" s="23">
        <v>0</v>
      </c>
      <c r="C33" s="3">
        <f>SUM(2*B33)</f>
        <v>0</v>
      </c>
      <c r="G33" s="3">
        <f>SUM(7*B33)</f>
        <v>0</v>
      </c>
      <c r="K33" s="3">
        <f>SUM(17*B33)</f>
        <v>0</v>
      </c>
      <c r="L33" s="3">
        <f>SUM(17*B33)</f>
        <v>0</v>
      </c>
      <c r="N33" s="3">
        <f>SUM(59*B33)</f>
        <v>0</v>
      </c>
      <c r="O33" s="3">
        <f>SUM(11*B33)</f>
        <v>0</v>
      </c>
      <c r="P33" s="3">
        <f>SUM(20*B33)</f>
        <v>0</v>
      </c>
      <c r="R33" s="3">
        <f>SUM(50*B33)</f>
        <v>0</v>
      </c>
      <c r="S33" s="3">
        <f>SUM(2*B33)</f>
        <v>0</v>
      </c>
      <c r="T33" s="3">
        <f>SUM(2*B33)</f>
        <v>0</v>
      </c>
      <c r="W33" s="3">
        <f>SUM(41*B33)</f>
        <v>0</v>
      </c>
      <c r="X33" s="3">
        <f>SUM(1*B33)</f>
        <v>0</v>
      </c>
      <c r="Y33" s="3">
        <f>SUM(22*B33)</f>
        <v>0</v>
      </c>
      <c r="Z33" s="2">
        <f>SUM(13*B33)</f>
        <v>0</v>
      </c>
      <c r="AB33" s="3">
        <f>SUM(10*B33)</f>
        <v>0</v>
      </c>
      <c r="AE33" s="3">
        <f>SUM(1*B33)</f>
        <v>0</v>
      </c>
      <c r="AG33" s="3">
        <f>SUM(1*B33)</f>
        <v>0</v>
      </c>
      <c r="AH33" s="3">
        <f t="shared" si="1"/>
        <v>0</v>
      </c>
      <c r="AI33" s="3">
        <f>SUM(1*B33)</f>
        <v>0</v>
      </c>
      <c r="AJ33" s="3">
        <f>SUM(1*B33)</f>
        <v>0</v>
      </c>
      <c r="AK33" s="3">
        <f>SUM(4*B33)</f>
        <v>0</v>
      </c>
      <c r="AO33" s="3">
        <f>SUM(8*B33)</f>
        <v>0</v>
      </c>
      <c r="AQ33" s="3">
        <f>SUM(4*B33)</f>
        <v>0</v>
      </c>
      <c r="AW33" s="3">
        <f>SUM(10*B33)</f>
        <v>0</v>
      </c>
      <c r="BR33" s="3">
        <f>SUM(1*B33)</f>
        <v>0</v>
      </c>
      <c r="BS33" s="3">
        <f>SUM(1*B33)</f>
        <v>0</v>
      </c>
      <c r="BY33" s="3">
        <f>SUM(1*B33)</f>
        <v>0</v>
      </c>
      <c r="CA33" s="3">
        <f>SUM(20*B33)</f>
        <v>0</v>
      </c>
      <c r="DC33" s="3">
        <f>SUM(1*B33)</f>
        <v>0</v>
      </c>
      <c r="DF33" s="3">
        <f>SUM(22*B33)</f>
        <v>0</v>
      </c>
      <c r="DG33" s="3">
        <f>SUM(2*B33)</f>
        <v>0</v>
      </c>
      <c r="DU33" s="3">
        <f>SUM(1*B33)</f>
        <v>0</v>
      </c>
    </row>
    <row r="34" spans="1:163" x14ac:dyDescent="0.25">
      <c r="A34" s="45" t="s">
        <v>175</v>
      </c>
      <c r="B34" s="23">
        <v>0</v>
      </c>
      <c r="K34" s="3">
        <f>SUM(8*B34)</f>
        <v>0</v>
      </c>
      <c r="L34" s="3">
        <f>SUM(6*B34)</f>
        <v>0</v>
      </c>
      <c r="N34" s="3">
        <f>SUM(32*B34)</f>
        <v>0</v>
      </c>
      <c r="O34" s="3">
        <f>SUM(20*B34)</f>
        <v>0</v>
      </c>
      <c r="P34" s="3">
        <f>SUM(7*B34)</f>
        <v>0</v>
      </c>
      <c r="R34" s="3">
        <f>SUM(27*B34)</f>
        <v>0</v>
      </c>
      <c r="W34" s="3">
        <f>SUM(23*B34)</f>
        <v>0</v>
      </c>
      <c r="X34" s="3">
        <f>SUM(1*B34)</f>
        <v>0</v>
      </c>
      <c r="Y34" s="3">
        <f>SUM(6*B34)</f>
        <v>0</v>
      </c>
      <c r="Z34" s="3">
        <f>SUM(9*B34)</f>
        <v>0</v>
      </c>
      <c r="AB34" s="3">
        <f>SUM(14*B34)</f>
        <v>0</v>
      </c>
      <c r="AE34" s="3">
        <f>SUM(1*B34)</f>
        <v>0</v>
      </c>
      <c r="AH34" s="3">
        <f t="shared" si="1"/>
        <v>0</v>
      </c>
      <c r="AK34" s="3">
        <f>SUM(1*B34)</f>
        <v>0</v>
      </c>
      <c r="AQ34" s="3">
        <f>SUM(4*B34)</f>
        <v>0</v>
      </c>
      <c r="AW34" s="3">
        <f>SUM(5*B34)</f>
        <v>0</v>
      </c>
      <c r="BR34" s="3">
        <f>SUM(1*B34)</f>
        <v>0</v>
      </c>
      <c r="BZ34" s="3">
        <f>SUM(1*B34)</f>
        <v>0</v>
      </c>
      <c r="CA34" s="3">
        <f>SUM(10*B34)</f>
        <v>0</v>
      </c>
      <c r="CD34" s="3">
        <f>SUM(1*B34)</f>
        <v>0</v>
      </c>
      <c r="CP34" s="3">
        <f>SUM(1*B34)</f>
        <v>0</v>
      </c>
      <c r="DF34" s="3">
        <f>SUM(12*B34)</f>
        <v>0</v>
      </c>
      <c r="DU34" s="3">
        <f>SUM(1*B34)</f>
        <v>0</v>
      </c>
      <c r="DW34" s="3">
        <f>SUM(5*B34)</f>
        <v>0</v>
      </c>
    </row>
    <row r="35" spans="1:163" x14ac:dyDescent="0.25">
      <c r="A35" s="44" t="s">
        <v>163</v>
      </c>
      <c r="B35" s="23">
        <v>30</v>
      </c>
      <c r="K35" s="3">
        <f>SUM(9*B35)</f>
        <v>270</v>
      </c>
      <c r="L35" s="3">
        <f>SUM(25*B35)</f>
        <v>750</v>
      </c>
      <c r="M35" s="3">
        <f>SUM(B35*12)</f>
        <v>360</v>
      </c>
      <c r="N35" s="3">
        <f>SUM(3*B35)</f>
        <v>90</v>
      </c>
      <c r="P35" s="18">
        <f>SUM(26*B35)</f>
        <v>780</v>
      </c>
      <c r="R35" s="3">
        <f>SUM(16*B35)</f>
        <v>480</v>
      </c>
      <c r="S35" s="3">
        <f>SUM(B35*2)</f>
        <v>60</v>
      </c>
      <c r="T35" s="3">
        <f>SUM(B35*2)</f>
        <v>60</v>
      </c>
      <c r="W35" s="3">
        <f>SUM(20*B35)</f>
        <v>600</v>
      </c>
      <c r="X35" s="3">
        <f>SUM(3*B35)</f>
        <v>90</v>
      </c>
      <c r="Y35" s="3">
        <f>SUM(B35*6)</f>
        <v>180</v>
      </c>
      <c r="Z35" s="3">
        <f>SUM(5*B35)</f>
        <v>150</v>
      </c>
      <c r="AD35" s="3">
        <f>SUM(1*B35)</f>
        <v>30</v>
      </c>
      <c r="AE35" s="3">
        <f>SUM(1*B35)</f>
        <v>30</v>
      </c>
      <c r="AH35" s="3">
        <f t="shared" si="1"/>
        <v>30</v>
      </c>
      <c r="AJ35" s="3">
        <f>SUM(B35*1)</f>
        <v>30</v>
      </c>
      <c r="AK35" s="3">
        <f>SUM(1*B35)</f>
        <v>30</v>
      </c>
      <c r="BA35" s="3">
        <f>SUM(B35*6)</f>
        <v>180</v>
      </c>
    </row>
    <row r="36" spans="1:163" x14ac:dyDescent="0.25">
      <c r="A36" s="44" t="s">
        <v>164</v>
      </c>
      <c r="B36" s="23">
        <v>0</v>
      </c>
      <c r="F36" s="3">
        <f>SUM(B36*1)</f>
        <v>0</v>
      </c>
      <c r="K36" s="3">
        <f>SUM(5*B36)</f>
        <v>0</v>
      </c>
      <c r="N36" s="3">
        <f>SUM(3*B36)</f>
        <v>0</v>
      </c>
      <c r="P36" s="3">
        <f>SUM(2*B36)</f>
        <v>0</v>
      </c>
      <c r="Q36" s="19"/>
      <c r="R36" s="3">
        <f>SUM(6*B36)</f>
        <v>0</v>
      </c>
      <c r="S36" s="3">
        <f>SUM(B36*2)</f>
        <v>0</v>
      </c>
      <c r="U36" s="3">
        <f>SUM(B36*1)</f>
        <v>0</v>
      </c>
      <c r="W36" s="3">
        <f>SUM(1*B36)</f>
        <v>0</v>
      </c>
      <c r="X36" s="3">
        <f>SUM(1*B36)</f>
        <v>0</v>
      </c>
      <c r="Z36" s="3">
        <f>SUM(2*B36)</f>
        <v>0</v>
      </c>
      <c r="AB36" s="3">
        <f>SUM(B36*1)</f>
        <v>0</v>
      </c>
      <c r="AE36" s="3">
        <f>SUM(1*B36)</f>
        <v>0</v>
      </c>
      <c r="AH36" s="3">
        <f t="shared" si="1"/>
        <v>0</v>
      </c>
      <c r="AI36" s="3">
        <f>SUM(B36*1)</f>
        <v>0</v>
      </c>
      <c r="AP36" s="3">
        <f>SUM(B36*1)</f>
        <v>0</v>
      </c>
      <c r="AQ36" s="3">
        <f>SUM(B36*4)</f>
        <v>0</v>
      </c>
      <c r="AW36" s="3">
        <f>SUM(2*B36)</f>
        <v>0</v>
      </c>
    </row>
    <row r="37" spans="1:163" x14ac:dyDescent="0.25">
      <c r="A37" s="44" t="s">
        <v>173</v>
      </c>
      <c r="B37" s="23">
        <v>0</v>
      </c>
      <c r="P37" s="19"/>
      <c r="Q37" s="21"/>
      <c r="AE37" s="3">
        <f>SUM(1*B37)</f>
        <v>0</v>
      </c>
      <c r="AH37" s="3">
        <f t="shared" si="1"/>
        <v>0</v>
      </c>
      <c r="AW37" s="3">
        <f>SUM(2*B37)</f>
        <v>0</v>
      </c>
      <c r="BR37" s="3">
        <f>SUM(1*B37)</f>
        <v>0</v>
      </c>
    </row>
    <row r="38" spans="1:163" x14ac:dyDescent="0.25">
      <c r="A38" s="44" t="s">
        <v>165</v>
      </c>
      <c r="B38" s="23">
        <v>100</v>
      </c>
      <c r="K38" s="3">
        <f>SUM(1*B38)</f>
        <v>100</v>
      </c>
      <c r="L38" s="3">
        <f>SUM(1*B38)</f>
        <v>100</v>
      </c>
      <c r="O38" s="3">
        <f>SUM(B38*8)</f>
        <v>800</v>
      </c>
      <c r="R38" s="3">
        <f>SUM(3*B38)</f>
        <v>300</v>
      </c>
      <c r="W38" s="3">
        <f>SUM(9*B38)</f>
        <v>900</v>
      </c>
      <c r="Z38" s="3">
        <f>SUM(9*B38)</f>
        <v>900</v>
      </c>
      <c r="AH38" s="3">
        <f t="shared" si="1"/>
        <v>100</v>
      </c>
      <c r="AJ38" s="3">
        <f>SUM(2*B38)</f>
        <v>200</v>
      </c>
      <c r="BX38" s="3" t="s">
        <v>37</v>
      </c>
    </row>
    <row r="39" spans="1:163" x14ac:dyDescent="0.25">
      <c r="A39" s="44" t="s">
        <v>166</v>
      </c>
      <c r="B39" s="23">
        <v>0</v>
      </c>
      <c r="C39" s="19"/>
      <c r="K39" s="3">
        <f>SUM(4*B39)</f>
        <v>0</v>
      </c>
      <c r="AH39" s="3">
        <f t="shared" si="1"/>
        <v>0</v>
      </c>
    </row>
    <row r="40" spans="1:163" x14ac:dyDescent="0.25">
      <c r="A40" s="46" t="s">
        <v>167</v>
      </c>
      <c r="B40" s="23">
        <v>0</v>
      </c>
      <c r="K40" s="3">
        <f>SUM(4*B40)</f>
        <v>0</v>
      </c>
      <c r="AH40" s="3">
        <f t="shared" si="1"/>
        <v>0</v>
      </c>
    </row>
    <row r="41" spans="1:163" x14ac:dyDescent="0.25">
      <c r="A41" s="47" t="s">
        <v>168</v>
      </c>
      <c r="B41" s="23">
        <v>0</v>
      </c>
      <c r="K41" s="3">
        <f>SUM(36*B41)</f>
        <v>0</v>
      </c>
      <c r="AH41" s="3">
        <f t="shared" si="1"/>
        <v>0</v>
      </c>
    </row>
    <row r="42" spans="1:163" x14ac:dyDescent="0.25">
      <c r="A42" s="47" t="s">
        <v>169</v>
      </c>
      <c r="B42" s="23">
        <v>40</v>
      </c>
      <c r="I42" s="19"/>
      <c r="J42" s="24"/>
      <c r="P42" s="3">
        <f>SUM(13*B42)</f>
        <v>520</v>
      </c>
      <c r="W42" s="3">
        <f>SUM(13*B42)</f>
        <v>520</v>
      </c>
      <c r="Z42" s="3">
        <f>SUM(4*B42)</f>
        <v>160</v>
      </c>
      <c r="AH42" s="3">
        <f t="shared" si="1"/>
        <v>40</v>
      </c>
    </row>
    <row r="43" spans="1:163" ht="15.75" thickBot="1" x14ac:dyDescent="0.3">
      <c r="A43" s="47" t="s">
        <v>194</v>
      </c>
      <c r="B43" s="23">
        <v>50</v>
      </c>
      <c r="C43" s="3">
        <f>SUM(B43*2)</f>
        <v>100</v>
      </c>
      <c r="I43" s="19"/>
      <c r="J43" s="19"/>
      <c r="K43" s="19">
        <f>SUM(B43*5)</f>
        <v>250</v>
      </c>
      <c r="L43" s="19">
        <f>SUM(B43*3)</f>
        <v>150</v>
      </c>
      <c r="M43" s="19"/>
      <c r="N43" s="19">
        <f>SUM(B43*1)</f>
        <v>50</v>
      </c>
      <c r="O43" s="19"/>
      <c r="P43" s="19">
        <f>SUM(B43*9)</f>
        <v>450</v>
      </c>
      <c r="Q43" s="19"/>
      <c r="R43" s="19">
        <f>SUM(B43*7)</f>
        <v>350</v>
      </c>
      <c r="S43" s="19"/>
      <c r="T43" s="19"/>
      <c r="U43" s="19"/>
      <c r="V43" s="19"/>
      <c r="W43" s="19">
        <f>SUM(B43*2)</f>
        <v>100</v>
      </c>
      <c r="X43" s="19"/>
      <c r="Y43" s="19"/>
      <c r="Z43" s="19">
        <f>SUM(B43*1)</f>
        <v>50</v>
      </c>
      <c r="AA43" s="19"/>
      <c r="AB43" s="19">
        <f>SUM(B43*2)</f>
        <v>100</v>
      </c>
      <c r="AC43" s="19"/>
      <c r="AD43" s="19"/>
      <c r="AE43" s="19">
        <f>SUM(B43*1)</f>
        <v>50</v>
      </c>
      <c r="AF43" s="19"/>
      <c r="AG43" s="19"/>
      <c r="AH43" s="19">
        <f>SUM(B43*1)</f>
        <v>50</v>
      </c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>
        <f>SUM(B43*2)</f>
        <v>100</v>
      </c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>
        <f>SUM(B43*1)</f>
        <v>50</v>
      </c>
      <c r="BS43" s="19"/>
      <c r="BT43" s="19"/>
      <c r="BU43" s="19"/>
      <c r="BV43" s="19"/>
      <c r="BW43" s="19"/>
      <c r="BX43" s="19"/>
      <c r="BY43" s="19"/>
      <c r="BZ43" s="19">
        <f>SUM(B43*1)</f>
        <v>50</v>
      </c>
      <c r="CA43" s="19">
        <f>SUM(B43*1)</f>
        <v>50</v>
      </c>
      <c r="CB43" s="19"/>
      <c r="CC43" s="19"/>
      <c r="CD43" s="19">
        <f>SUM(B43*1)</f>
        <v>50</v>
      </c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>
        <f>SUM(B43*1)</f>
        <v>50</v>
      </c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>
        <f>SUM(B43*1)</f>
        <v>50</v>
      </c>
      <c r="DV43" s="19"/>
      <c r="DW43" s="19"/>
      <c r="EK43" s="3">
        <f>SUM(B43*1)</f>
        <v>50</v>
      </c>
      <c r="ET43" s="3">
        <f>SUM(B43*1)</f>
        <v>50</v>
      </c>
      <c r="EU43" s="3">
        <f>SUM(B43*1)</f>
        <v>50</v>
      </c>
      <c r="EV43" s="3">
        <f>SUM(B43*1)</f>
        <v>50</v>
      </c>
      <c r="EW43" s="3">
        <f>SUM(B43*1)</f>
        <v>50</v>
      </c>
      <c r="EY43" s="3">
        <f>SUM(B43*1)</f>
        <v>50</v>
      </c>
      <c r="FA43" s="3">
        <f>SUM(B43*1)</f>
        <v>50</v>
      </c>
      <c r="FB43" s="3">
        <f>SUM(B43*2)</f>
        <v>100</v>
      </c>
    </row>
    <row r="44" spans="1:163" ht="15.75" thickBot="1" x14ac:dyDescent="0.3">
      <c r="A44" s="47" t="s">
        <v>202</v>
      </c>
      <c r="B44" s="23">
        <v>30</v>
      </c>
      <c r="F44" s="3">
        <f>SUM(B44*1)</f>
        <v>30</v>
      </c>
      <c r="I44" s="19"/>
      <c r="J44" s="19"/>
      <c r="K44" s="19"/>
      <c r="L44" s="19">
        <f>SUM(B44*37)</f>
        <v>1110</v>
      </c>
      <c r="M44" s="19"/>
      <c r="N44" s="19">
        <f>SUM(B44*3)</f>
        <v>90</v>
      </c>
      <c r="O44" s="19">
        <f>SUM(B44*6)</f>
        <v>180</v>
      </c>
      <c r="P44" s="19">
        <f>SUM(B464)</f>
        <v>0</v>
      </c>
      <c r="Q44" s="19">
        <f>SUM(B44*1)</f>
        <v>30</v>
      </c>
      <c r="R44" s="19">
        <f>SUM(B44*8)</f>
        <v>240</v>
      </c>
      <c r="S44" s="19"/>
      <c r="T44" s="19"/>
      <c r="U44" s="19"/>
      <c r="V44" s="19"/>
      <c r="W44" s="19"/>
      <c r="X44" s="19"/>
      <c r="Y44" s="19"/>
      <c r="Z44" s="19"/>
      <c r="AA44" s="29"/>
      <c r="AB44" s="19"/>
      <c r="AC44" s="19"/>
      <c r="AD44" s="19"/>
      <c r="AE44" s="19"/>
      <c r="AF44" s="19"/>
      <c r="AG44" s="19"/>
      <c r="AH44" s="19">
        <f>SUM(B44*1)</f>
        <v>30</v>
      </c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>
        <f>SUM(B44*2)</f>
        <v>60</v>
      </c>
      <c r="BB44" s="19"/>
      <c r="BC44" s="19"/>
      <c r="BD44" s="19"/>
      <c r="BE44" s="19"/>
      <c r="BF44" s="19"/>
      <c r="BG44" s="19"/>
      <c r="BH44" s="19"/>
      <c r="BI44" s="19"/>
      <c r="BJ44" s="19"/>
      <c r="BK44" s="19">
        <f>SUM(B44*1)</f>
        <v>30</v>
      </c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>
        <f>SUM(B44*1)</f>
        <v>30</v>
      </c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FC44" s="3">
        <f>SUM(B44*2)</f>
        <v>60</v>
      </c>
      <c r="FD44" s="3">
        <f>SUM(B44*1)</f>
        <v>30</v>
      </c>
      <c r="FE44" s="3">
        <f>SUM(B44*1)</f>
        <v>30</v>
      </c>
      <c r="FF44" s="3">
        <f>SUM(B44*1)</f>
        <v>30</v>
      </c>
      <c r="FG44" s="30">
        <f>SUM(B44*1)</f>
        <v>30</v>
      </c>
    </row>
    <row r="45" spans="1:163" x14ac:dyDescent="0.25">
      <c r="A45" s="47"/>
      <c r="B45" s="23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19"/>
      <c r="AS45" s="21"/>
      <c r="AT45" s="19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19"/>
      <c r="BU45" s="21"/>
      <c r="BV45" s="21"/>
      <c r="BW45" s="21"/>
      <c r="BX45" s="21"/>
      <c r="BY45" s="21"/>
      <c r="BZ45" s="21"/>
      <c r="CA45" s="21"/>
      <c r="CB45" s="19"/>
      <c r="CC45" s="19"/>
      <c r="CD45" s="19"/>
      <c r="CE45" s="19"/>
      <c r="CF45" s="19"/>
      <c r="CG45" s="19"/>
      <c r="CH45" s="19"/>
      <c r="CI45" s="19"/>
      <c r="CJ45" s="19"/>
      <c r="CK45" s="21"/>
      <c r="CL45" s="21"/>
      <c r="CM45" s="21"/>
      <c r="CN45" s="19"/>
      <c r="CO45" s="21"/>
      <c r="CP45" s="19"/>
      <c r="CQ45" s="19"/>
      <c r="CR45" s="19"/>
      <c r="CS45" s="21"/>
      <c r="CT45" s="21"/>
      <c r="CU45" s="21"/>
      <c r="CV45" s="19"/>
      <c r="CW45" s="21"/>
      <c r="CX45" s="19"/>
      <c r="CY45" s="21"/>
      <c r="CZ45" s="21"/>
      <c r="DA45" s="21"/>
      <c r="DB45" s="19"/>
      <c r="DC45" s="21"/>
      <c r="DD45" s="19"/>
      <c r="DE45" s="21"/>
      <c r="DF45" s="19"/>
      <c r="DG45" s="21"/>
      <c r="DH45" s="21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19"/>
      <c r="EN45" s="19"/>
      <c r="EO45" s="19"/>
      <c r="EP45" s="19"/>
      <c r="EQ45" s="19"/>
      <c r="ER45" s="19"/>
      <c r="ES45" s="19"/>
      <c r="FA45" s="19"/>
    </row>
    <row r="46" spans="1:163" x14ac:dyDescent="0.25">
      <c r="A46" s="47"/>
      <c r="B46" s="23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  <c r="EJ46" s="19"/>
      <c r="EK46" s="19"/>
      <c r="EL46" s="19"/>
      <c r="EM46" s="19"/>
      <c r="EN46" s="19"/>
      <c r="EO46" s="19"/>
      <c r="EP46" s="19"/>
      <c r="EQ46" s="19"/>
      <c r="ER46" s="19"/>
      <c r="ES46" s="19"/>
      <c r="FA46" s="19"/>
    </row>
    <row r="47" spans="1:163" x14ac:dyDescent="0.25">
      <c r="A47" s="47"/>
      <c r="B47" s="23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19"/>
      <c r="EN47" s="19"/>
      <c r="EO47" s="19"/>
      <c r="EP47" s="19"/>
      <c r="EQ47" s="19"/>
      <c r="ER47" s="19"/>
      <c r="ES47" s="19"/>
      <c r="FA47" s="19"/>
    </row>
    <row r="48" spans="1:163" x14ac:dyDescent="0.25">
      <c r="A48" s="47"/>
      <c r="B48" s="23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19"/>
      <c r="DW48" s="21"/>
      <c r="DX48" s="31"/>
      <c r="DY48" s="21"/>
      <c r="DZ48" s="31"/>
      <c r="EA48" s="31"/>
      <c r="EB48" s="21"/>
      <c r="EC48" s="31"/>
      <c r="ED48" s="31"/>
      <c r="EE48" s="21"/>
      <c r="EF48" s="31"/>
      <c r="EG48" s="21"/>
      <c r="EH48" s="3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19"/>
    </row>
    <row r="49" spans="1:325" x14ac:dyDescent="0.25">
      <c r="A49" s="47"/>
      <c r="B49" s="23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</row>
    <row r="50" spans="1:325" x14ac:dyDescent="0.25">
      <c r="A50" s="47"/>
      <c r="B50" s="23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</row>
    <row r="51" spans="1:325" ht="15.75" thickBot="1" x14ac:dyDescent="0.3">
      <c r="A51" s="48"/>
      <c r="B51" s="23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325" s="14" customFormat="1" ht="15.75" thickBot="1" x14ac:dyDescent="0.3">
      <c r="A52" s="49" t="s">
        <v>144</v>
      </c>
      <c r="B52" s="30"/>
      <c r="C52" s="32">
        <f>SUM(C3:C50)</f>
        <v>11850</v>
      </c>
      <c r="D52" s="14">
        <f>SUM(D3:D50)</f>
        <v>0</v>
      </c>
      <c r="E52" s="14">
        <f>SUM(E3:E50)</f>
        <v>11940</v>
      </c>
      <c r="F52" s="14">
        <f>SUM(F3:F49)</f>
        <v>69798</v>
      </c>
      <c r="G52" s="14">
        <f>SUM(G3:G50)</f>
        <v>30994</v>
      </c>
      <c r="H52" s="14">
        <f>SUM(H3:H42)</f>
        <v>87912</v>
      </c>
      <c r="I52" s="14">
        <f t="shared" ref="I52:N52" si="2">SUM(I3:I50)</f>
        <v>255388</v>
      </c>
      <c r="J52" s="14">
        <f t="shared" si="2"/>
        <v>21300</v>
      </c>
      <c r="K52" s="14">
        <f t="shared" si="2"/>
        <v>117322</v>
      </c>
      <c r="L52" s="32">
        <f t="shared" si="2"/>
        <v>272604</v>
      </c>
      <c r="M52" s="14">
        <f t="shared" si="2"/>
        <v>104804</v>
      </c>
      <c r="N52" s="14">
        <f t="shared" si="2"/>
        <v>178000</v>
      </c>
      <c r="O52" s="14">
        <f>SUM(O3:O49)</f>
        <v>123950</v>
      </c>
      <c r="P52" s="32">
        <f t="shared" ref="P52:V52" si="3">SUM(P3:P50)</f>
        <v>164114</v>
      </c>
      <c r="Q52" s="14">
        <f t="shared" si="3"/>
        <v>1630</v>
      </c>
      <c r="R52" s="14">
        <f t="shared" si="3"/>
        <v>324614</v>
      </c>
      <c r="S52" s="14">
        <f t="shared" si="3"/>
        <v>8276</v>
      </c>
      <c r="T52" s="14">
        <f t="shared" si="3"/>
        <v>6516</v>
      </c>
      <c r="U52" s="14">
        <f t="shared" si="3"/>
        <v>830</v>
      </c>
      <c r="V52" s="14">
        <f t="shared" si="3"/>
        <v>0</v>
      </c>
      <c r="W52" s="14">
        <f>SUM(W3:W49)</f>
        <v>161366</v>
      </c>
      <c r="X52" s="14">
        <f>SUM(X3:X50)</f>
        <v>40056</v>
      </c>
      <c r="Y52" s="14">
        <f>SUM(Y3:Y49)</f>
        <v>135918</v>
      </c>
      <c r="Z52" s="14">
        <f>SUM(Z3:Z50)</f>
        <v>244104</v>
      </c>
      <c r="AA52" s="14">
        <f>SUM(AA3:AA50)</f>
        <v>62400</v>
      </c>
      <c r="AB52" s="14">
        <f>SUM(AB3:AB49)</f>
        <v>34190</v>
      </c>
      <c r="AC52" s="14">
        <f t="shared" ref="AC52:AN52" si="4">SUM(AC3:AC50)</f>
        <v>0</v>
      </c>
      <c r="AD52" s="14">
        <f t="shared" si="4"/>
        <v>2638</v>
      </c>
      <c r="AE52" s="14">
        <f t="shared" si="4"/>
        <v>16238</v>
      </c>
      <c r="AF52" s="14">
        <f t="shared" si="4"/>
        <v>500</v>
      </c>
      <c r="AG52" s="14">
        <f t="shared" si="4"/>
        <v>21330</v>
      </c>
      <c r="AH52" s="14">
        <f t="shared" si="4"/>
        <v>17678</v>
      </c>
      <c r="AI52" s="14">
        <f t="shared" si="4"/>
        <v>3578</v>
      </c>
      <c r="AJ52" s="14">
        <f t="shared" si="4"/>
        <v>41086</v>
      </c>
      <c r="AK52" s="14">
        <f t="shared" si="4"/>
        <v>16876</v>
      </c>
      <c r="AL52" s="14">
        <f t="shared" si="4"/>
        <v>9742</v>
      </c>
      <c r="AM52" s="14">
        <f t="shared" si="4"/>
        <v>7992</v>
      </c>
      <c r="AN52" s="14">
        <f t="shared" si="4"/>
        <v>0</v>
      </c>
      <c r="AO52" s="14">
        <f>SUM(AO3:AO49)</f>
        <v>6500</v>
      </c>
      <c r="AP52" s="14">
        <f t="shared" ref="AP52:AV52" si="5">SUM(AP3:AP50)</f>
        <v>2578</v>
      </c>
      <c r="AQ52" s="14">
        <f t="shared" si="5"/>
        <v>13640</v>
      </c>
      <c r="AR52" s="14">
        <f t="shared" si="5"/>
        <v>30</v>
      </c>
      <c r="AS52" s="14">
        <f t="shared" si="5"/>
        <v>500</v>
      </c>
      <c r="AT52" s="14">
        <f t="shared" si="5"/>
        <v>500</v>
      </c>
      <c r="AU52" s="14">
        <f t="shared" si="5"/>
        <v>0</v>
      </c>
      <c r="AV52" s="14">
        <f t="shared" si="5"/>
        <v>0</v>
      </c>
      <c r="AW52" s="14">
        <f>SUM(AW3:AW49)</f>
        <v>24976</v>
      </c>
      <c r="AX52" s="14">
        <f t="shared" ref="AX52:BD52" si="6">SUM(AX3:AX50)</f>
        <v>1030</v>
      </c>
      <c r="AY52" s="14">
        <f t="shared" si="6"/>
        <v>1590</v>
      </c>
      <c r="AZ52" s="14">
        <f t="shared" si="6"/>
        <v>15000</v>
      </c>
      <c r="BA52" s="14">
        <f t="shared" si="6"/>
        <v>1040</v>
      </c>
      <c r="BB52" s="14">
        <f t="shared" si="6"/>
        <v>0</v>
      </c>
      <c r="BC52" s="14">
        <f t="shared" si="6"/>
        <v>500</v>
      </c>
      <c r="BD52" s="14">
        <f t="shared" si="6"/>
        <v>1880</v>
      </c>
      <c r="BE52" s="14">
        <f>SUM(BF44)</f>
        <v>0</v>
      </c>
      <c r="BF52" s="14">
        <f>SUM(BF3:BF42)</f>
        <v>11773</v>
      </c>
      <c r="BG52" s="14">
        <f>SUM(BG3:BG42)</f>
        <v>9077</v>
      </c>
      <c r="BH52" s="14">
        <f>SUM(BH3:BH42)</f>
        <v>0</v>
      </c>
      <c r="BI52" s="14">
        <f t="shared" ref="BI52:BS52" si="7">SUM(BI3:BI50)</f>
        <v>0</v>
      </c>
      <c r="BJ52" s="14">
        <f t="shared" si="7"/>
        <v>0</v>
      </c>
      <c r="BK52" s="14">
        <f t="shared" si="7"/>
        <v>30</v>
      </c>
      <c r="BL52" s="14">
        <f t="shared" si="7"/>
        <v>0</v>
      </c>
      <c r="BM52" s="14">
        <f t="shared" si="7"/>
        <v>0</v>
      </c>
      <c r="BN52" s="14">
        <f t="shared" si="7"/>
        <v>0</v>
      </c>
      <c r="BO52" s="14">
        <f t="shared" si="7"/>
        <v>24310</v>
      </c>
      <c r="BP52" s="14">
        <f t="shared" si="7"/>
        <v>0</v>
      </c>
      <c r="BQ52" s="14">
        <f t="shared" si="7"/>
        <v>6400</v>
      </c>
      <c r="BR52" s="14">
        <f t="shared" si="7"/>
        <v>17558</v>
      </c>
      <c r="BS52" s="14">
        <f t="shared" si="7"/>
        <v>500</v>
      </c>
      <c r="BT52" s="14">
        <f>SUM(BT3:BT42)</f>
        <v>4000</v>
      </c>
      <c r="BU52" s="14">
        <f t="shared" ref="BU52:CH52" si="8">SUM(BU3:BU50)</f>
        <v>1000</v>
      </c>
      <c r="BV52" s="14">
        <f t="shared" si="8"/>
        <v>6400</v>
      </c>
      <c r="BW52" s="14">
        <f t="shared" si="8"/>
        <v>0</v>
      </c>
      <c r="BX52" s="14">
        <f t="shared" si="8"/>
        <v>0</v>
      </c>
      <c r="BY52" s="14">
        <f t="shared" si="8"/>
        <v>1300</v>
      </c>
      <c r="BZ52" s="14">
        <f t="shared" si="8"/>
        <v>13870</v>
      </c>
      <c r="CA52" s="14">
        <f t="shared" si="8"/>
        <v>41210</v>
      </c>
      <c r="CB52" s="14">
        <f t="shared" si="8"/>
        <v>0</v>
      </c>
      <c r="CC52" s="14">
        <f t="shared" si="8"/>
        <v>0</v>
      </c>
      <c r="CD52" s="14">
        <f t="shared" si="8"/>
        <v>13570</v>
      </c>
      <c r="CE52" s="14">
        <f t="shared" si="8"/>
        <v>2498</v>
      </c>
      <c r="CF52" s="14">
        <f t="shared" si="8"/>
        <v>2198</v>
      </c>
      <c r="CG52" s="14">
        <f t="shared" si="8"/>
        <v>500</v>
      </c>
      <c r="CH52" s="14">
        <f t="shared" si="8"/>
        <v>10610</v>
      </c>
      <c r="CI52" s="14">
        <f>SUM(CI3:CI49)</f>
        <v>0</v>
      </c>
      <c r="CJ52" s="14">
        <f t="shared" ref="CJ52:CP52" si="9">SUM(CJ3:CJ50)</f>
        <v>30</v>
      </c>
      <c r="CK52" s="14">
        <f t="shared" si="9"/>
        <v>0</v>
      </c>
      <c r="CL52" s="14">
        <f t="shared" si="9"/>
        <v>13860</v>
      </c>
      <c r="CM52" s="14">
        <f t="shared" si="9"/>
        <v>0</v>
      </c>
      <c r="CN52" s="14">
        <f t="shared" si="9"/>
        <v>600</v>
      </c>
      <c r="CO52" s="14">
        <f t="shared" si="9"/>
        <v>0</v>
      </c>
      <c r="CP52" s="14">
        <f t="shared" si="9"/>
        <v>0</v>
      </c>
      <c r="CQ52" s="14">
        <f>SUM(CQ3:CQ49)</f>
        <v>0</v>
      </c>
      <c r="CR52" s="14">
        <f>SUM(CR3:CR49)</f>
        <v>50</v>
      </c>
      <c r="CS52" s="14">
        <f t="shared" ref="CS52:DA52" si="10">SUM(CS3:CS50)</f>
        <v>0</v>
      </c>
      <c r="CT52" s="14">
        <f t="shared" si="10"/>
        <v>0</v>
      </c>
      <c r="CU52" s="14">
        <f t="shared" si="10"/>
        <v>0</v>
      </c>
      <c r="CV52" s="14">
        <f t="shared" si="10"/>
        <v>0</v>
      </c>
      <c r="CW52" s="14">
        <f t="shared" si="10"/>
        <v>0</v>
      </c>
      <c r="CX52" s="14">
        <f t="shared" si="10"/>
        <v>0</v>
      </c>
      <c r="CY52" s="14">
        <f t="shared" si="10"/>
        <v>0</v>
      </c>
      <c r="CZ52" s="14">
        <f t="shared" si="10"/>
        <v>0</v>
      </c>
      <c r="DA52" s="14">
        <f t="shared" si="10"/>
        <v>500</v>
      </c>
      <c r="DB52" s="14">
        <f>SUM(DB4:DB50)</f>
        <v>0</v>
      </c>
      <c r="DC52" s="14">
        <f>SUM(DC3:DC50)</f>
        <v>500</v>
      </c>
      <c r="DD52" s="14">
        <f>SUM(DD3:DD50)</f>
        <v>0</v>
      </c>
      <c r="DE52" s="14">
        <f>SUM(DE3:DE50)</f>
        <v>0</v>
      </c>
      <c r="DF52" s="14">
        <f>SUM(DF3:DF50)</f>
        <v>9000</v>
      </c>
      <c r="DG52" s="14">
        <f>SUM(DG3:DG50)</f>
        <v>30</v>
      </c>
      <c r="DH52" s="14">
        <f>SUM(DH3:DH49)</f>
        <v>2110</v>
      </c>
      <c r="DI52" s="14">
        <f t="shared" ref="DI52:DW52" si="11">SUM(DI3:DI50)</f>
        <v>0</v>
      </c>
      <c r="DJ52" s="14">
        <f t="shared" si="11"/>
        <v>0</v>
      </c>
      <c r="DK52" s="14">
        <f t="shared" si="11"/>
        <v>0</v>
      </c>
      <c r="DL52" s="14">
        <f t="shared" si="11"/>
        <v>400</v>
      </c>
      <c r="DM52" s="14">
        <f t="shared" si="11"/>
        <v>0</v>
      </c>
      <c r="DN52" s="14">
        <f t="shared" si="11"/>
        <v>330</v>
      </c>
      <c r="DO52" s="14">
        <f t="shared" si="11"/>
        <v>0</v>
      </c>
      <c r="DP52" s="14">
        <f t="shared" si="11"/>
        <v>0</v>
      </c>
      <c r="DQ52" s="14">
        <f t="shared" si="11"/>
        <v>0</v>
      </c>
      <c r="DR52" s="14">
        <f t="shared" si="11"/>
        <v>26100</v>
      </c>
      <c r="DS52" s="14">
        <f t="shared" si="11"/>
        <v>26100</v>
      </c>
      <c r="DT52" s="14">
        <f t="shared" si="11"/>
        <v>3960</v>
      </c>
      <c r="DU52" s="14">
        <f t="shared" si="11"/>
        <v>50</v>
      </c>
      <c r="DV52" s="14">
        <f t="shared" si="11"/>
        <v>0</v>
      </c>
      <c r="DW52" s="14">
        <f t="shared" si="11"/>
        <v>0</v>
      </c>
      <c r="DX52" s="14">
        <f>SUM(DX3:DX49)</f>
        <v>11850</v>
      </c>
      <c r="DY52" s="14">
        <f>SUM(DY3:DY50)</f>
        <v>0</v>
      </c>
      <c r="DZ52" s="14">
        <f>SUM(DZ3:DZ50)</f>
        <v>20000</v>
      </c>
      <c r="EA52" s="14">
        <f>SUM(EA3:EA50)</f>
        <v>0</v>
      </c>
      <c r="EB52" s="14">
        <f>SUM(EB3:EB50)</f>
        <v>0</v>
      </c>
      <c r="EC52" s="14">
        <f>SUM(EC2:EC50)</f>
        <v>0</v>
      </c>
      <c r="ED52" s="14">
        <f>SUM(ED2:ED49)</f>
        <v>0</v>
      </c>
      <c r="EE52" s="14">
        <f>SUM(EE3:EE50)</f>
        <v>0</v>
      </c>
      <c r="EF52" s="14">
        <f>SUM(EF3:EF50)</f>
        <v>0</v>
      </c>
      <c r="EG52" s="14">
        <f>SUM(EG3:EG50)</f>
        <v>0</v>
      </c>
      <c r="EH52" s="14">
        <f>SUM(EH3:EH50)</f>
        <v>0</v>
      </c>
      <c r="EI52" s="14">
        <f>SUM(EI3:EI50)</f>
        <v>0</v>
      </c>
      <c r="EJ52" s="14">
        <f>SUM(EJ2:EJ50)</f>
        <v>0</v>
      </c>
      <c r="EK52" s="14">
        <f>SUM(EK3:EK50)</f>
        <v>50</v>
      </c>
      <c r="EL52" s="14">
        <f>SUM(EL3:EL50)</f>
        <v>0</v>
      </c>
      <c r="EM52" s="14">
        <f>SUM(EM2:EM50)</f>
        <v>0</v>
      </c>
      <c r="EN52" s="14">
        <f>SUM(EN2:EN50)</f>
        <v>0</v>
      </c>
      <c r="EO52" s="14">
        <f>SUM(EO2:EO49)</f>
        <v>0</v>
      </c>
      <c r="EP52" s="14">
        <f>SUM(EP2:EP50)</f>
        <v>0</v>
      </c>
      <c r="EQ52" s="14">
        <f>SUM(EQ4:EQ50)</f>
        <v>0</v>
      </c>
      <c r="ER52" s="14">
        <f>SUM(ER3:ER50)</f>
        <v>0</v>
      </c>
      <c r="ES52" s="14">
        <f>SUM(ES2:ES50)</f>
        <v>0</v>
      </c>
      <c r="ET52" s="14">
        <f>SUM(ET3:ET50)</f>
        <v>50</v>
      </c>
      <c r="EU52" s="14">
        <f>SUM(EU3:EU50)</f>
        <v>50</v>
      </c>
      <c r="EV52" s="14">
        <f>SUM(EV4:EV50)</f>
        <v>50</v>
      </c>
      <c r="EW52" s="14">
        <f>SUM(EW2:EW50)</f>
        <v>50</v>
      </c>
      <c r="EX52" s="14">
        <f>SUM(EX4:EX50)</f>
        <v>0</v>
      </c>
      <c r="EZ52" s="14">
        <f>SUM(EZ21:EZ50)</f>
        <v>0</v>
      </c>
      <c r="FB52" s="14">
        <f>SUM(FB14:FB50)</f>
        <v>100</v>
      </c>
      <c r="FC52" s="14">
        <f>SUM(FC5:FC50)</f>
        <v>60</v>
      </c>
      <c r="FD52" s="14">
        <f>SUM(FD12:FD50)</f>
        <v>30</v>
      </c>
      <c r="FE52" s="14">
        <f>SUM(FE11:FE50)</f>
        <v>30</v>
      </c>
      <c r="FF52" s="14">
        <f>SUM(FF8:FF50)</f>
        <v>30</v>
      </c>
      <c r="FG52" s="14">
        <f>SUM(FG13:FG49)</f>
        <v>30</v>
      </c>
      <c r="FH52" s="14">
        <f>SUM(FH12:FH50)</f>
        <v>0</v>
      </c>
      <c r="FP52" s="3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9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</row>
    <row r="53" spans="1:325" s="14" customFormat="1" ht="15.75" thickBot="1" x14ac:dyDescent="0.3">
      <c r="A53" s="49" t="s">
        <v>80</v>
      </c>
      <c r="B53" s="30"/>
      <c r="C53" s="14" cm="1">
        <f t="array" aca="1" ref="C53" ca="1">INDIRECT(ADDRESS(4,COLUMN(),,,"Plan2"))*SUM(Plan2!C5:C100)</f>
        <v>30000</v>
      </c>
      <c r="D53" s="14" cm="1">
        <f t="array" aca="1" ref="D53" ca="1">INDIRECT(ADDRESS(4,COLUMN(),,,"Plan2"))*SUM(Plan2!D5:D100)</f>
        <v>0</v>
      </c>
      <c r="E53" s="14" cm="1">
        <f t="array" aca="1" ref="E53" ca="1">INDIRECT(ADDRESS(4,COLUMN(),,,"Plan2"))*SUM(Plan2!E5:E100)</f>
        <v>45000</v>
      </c>
      <c r="F53" s="14" cm="1">
        <f t="array" aca="1" ref="F53" ca="1">INDIRECT(ADDRESS(4,COLUMN(),,,"Plan2"))*SUM(Plan2!F5:F100)</f>
        <v>0</v>
      </c>
      <c r="G53" s="14" cm="1">
        <f t="array" aca="1" ref="G53" ca="1">INDIRECT(ADDRESS(4,COLUMN(),,,"Plan2"))*SUM(Plan2!G5:G100)</f>
        <v>0</v>
      </c>
      <c r="H53" s="14" cm="1">
        <f t="array" aca="1" ref="H53" ca="1">INDIRECT(ADDRESS(4,COLUMN(),,,"Plan2"))*SUM(Plan2!H5:H100)</f>
        <v>0</v>
      </c>
      <c r="I53" s="14" cm="1">
        <f t="array" aca="1" ref="I53" ca="1">INDIRECT(ADDRESS(4,COLUMN(),,,"Plan2"))*SUM(Plan2!I5:I100)</f>
        <v>0</v>
      </c>
      <c r="J53" s="14" cm="1">
        <f t="array" aca="1" ref="J53" ca="1">INDIRECT(ADDRESS(4,COLUMN(),,,"Plan2"))*SUM(Plan2!J5:J100)</f>
        <v>35000</v>
      </c>
      <c r="K53" s="14" cm="1">
        <f t="array" aca="1" ref="K53" ca="1">INDIRECT(ADDRESS(4,COLUMN(),,,"Plan2"))*SUM(Plan2!K5:K100)</f>
        <v>0</v>
      </c>
      <c r="L53" s="14" cm="1">
        <f t="array" aca="1" ref="L53" ca="1">INDIRECT(ADDRESS(4,COLUMN(),,,"Plan2"))*SUM(Plan2!L5:L100)</f>
        <v>15000</v>
      </c>
      <c r="M53" s="14" cm="1">
        <f t="array" aca="1" ref="M53" ca="1">INDIRECT(ADDRESS(4,COLUMN(),,,"Plan2"))*SUM(Plan2!M5:M100)</f>
        <v>0</v>
      </c>
      <c r="N53" s="14" cm="1">
        <f t="array" aca="1" ref="N53" ca="1">INDIRECT(ADDRESS(4,COLUMN(),,,"Plan2"))*SUM(Plan2!N5:N100)</f>
        <v>65000</v>
      </c>
      <c r="O53" s="14" cm="1">
        <f t="array" aca="1" ref="O53" ca="1">INDIRECT(ADDRESS(4,COLUMN(),,,"Plan2"))*SUM(Plan2!O5:O100)</f>
        <v>0</v>
      </c>
      <c r="P53" s="14" cm="1">
        <f t="array" aca="1" ref="P53" ca="1">INDIRECT(ADDRESS(4,COLUMN(),,,"Plan2"))*SUM(Plan2!P5:P100)</f>
        <v>15000</v>
      </c>
      <c r="Q53" s="14" cm="1">
        <f t="array" aca="1" ref="Q53" ca="1">INDIRECT(ADDRESS(4,COLUMN(),,,"Plan2"))*SUM(Plan2!Q5:Q100)</f>
        <v>0</v>
      </c>
      <c r="R53" s="14" cm="1">
        <f t="array" aca="1" ref="R53" ca="1">INDIRECT(ADDRESS(4,COLUMN(),,,"Plan2"))*SUM(Plan2!R5:R100)</f>
        <v>0</v>
      </c>
      <c r="S53" s="14" cm="1">
        <f t="array" aca="1" ref="S53" ca="1">INDIRECT(ADDRESS(4,COLUMN(),,,"Plan2"))*SUM(Plan2!S5:S100)</f>
        <v>0</v>
      </c>
      <c r="T53" s="14" cm="1">
        <f t="array" aca="1" ref="T53" ca="1">INDIRECT(ADDRESS(4,COLUMN(),,,"Plan2"))*SUM(Plan2!T5:T100)</f>
        <v>20000</v>
      </c>
      <c r="U53" s="14" cm="1">
        <f t="array" aca="1" ref="U53" ca="1">INDIRECT(ADDRESS(4,COLUMN(),,,"Plan2"))*SUM(Plan2!U5:U100)</f>
        <v>0</v>
      </c>
      <c r="V53" s="14" cm="1">
        <f t="array" aca="1" ref="V53" ca="1">INDIRECT(ADDRESS(4,COLUMN(),,,"Plan2"))*SUM(Plan2!V5:V100)</f>
        <v>0</v>
      </c>
      <c r="W53" s="14" cm="1">
        <f t="array" aca="1" ref="W53" ca="1">INDIRECT(ADDRESS(4,COLUMN(),,,"Plan2"))*SUM(Plan2!W5:W100)</f>
        <v>54000</v>
      </c>
      <c r="X53" s="14" cm="1">
        <f t="array" aca="1" ref="X53" ca="1">INDIRECT(ADDRESS(4,COLUMN(),,,"Plan2"))*SUM(Plan2!X5:X100)</f>
        <v>0</v>
      </c>
      <c r="Y53" s="14" cm="1">
        <f t="array" aca="1" ref="Y53" ca="1">INDIRECT(ADDRESS(4,COLUMN(),,,"Plan2"))*SUM(Plan2!Y5:Y100)</f>
        <v>0</v>
      </c>
      <c r="Z53" s="14" cm="1">
        <f t="array" aca="1" ref="Z53" ca="1">INDIRECT(ADDRESS(4,COLUMN(),,,"Plan2"))*SUM(Plan2!Z5:Z100)</f>
        <v>0</v>
      </c>
      <c r="AA53" s="14" cm="1">
        <f t="array" aca="1" ref="AA53" ca="1">INDIRECT(ADDRESS(4,COLUMN(),,,"Plan2"))*SUM(Plan2!AA5:AA100)</f>
        <v>0</v>
      </c>
      <c r="AB53" s="14" cm="1">
        <f t="array" aca="1" ref="AB53" ca="1">INDIRECT(ADDRESS(4,COLUMN(),,,"Plan2"))*SUM(Plan2!AB5:AB100)</f>
        <v>0</v>
      </c>
      <c r="AC53" s="14" cm="1">
        <f t="array" aca="1" ref="AC53" ca="1">INDIRECT(ADDRESS(4,COLUMN(),,,"Plan2"))*SUM(Plan2!AC5:AC100)</f>
        <v>0</v>
      </c>
      <c r="AD53" s="14" cm="1">
        <f t="array" aca="1" ref="AD53" ca="1">INDIRECT(ADDRESS(4,COLUMN(),,,"Plan2"))*SUM(Plan2!AD5:AD100)</f>
        <v>0</v>
      </c>
      <c r="AE53" s="14" cm="1">
        <f t="array" aca="1" ref="AE53" ca="1">INDIRECT(ADDRESS(4,COLUMN(),,,"Plan2"))*SUM(Plan2!AE5:AE100)</f>
        <v>0</v>
      </c>
      <c r="AF53" s="14" cm="1">
        <f t="array" aca="1" ref="AF53" ca="1">INDIRECT(ADDRESS(4,COLUMN(),,,"Plan2"))*SUM(Plan2!AF5:AF100)</f>
        <v>0</v>
      </c>
      <c r="AG53" s="14" cm="1">
        <f t="array" aca="1" ref="AG53" ca="1">INDIRECT(ADDRESS(4,COLUMN(),,,"Plan2"))*SUM(Plan2!AG5:AG100)</f>
        <v>0</v>
      </c>
      <c r="AH53" s="14" cm="1">
        <f t="array" aca="1" ref="AH53" ca="1">INDIRECT(ADDRESS(4,COLUMN(),,,"Plan2"))*SUM(Plan2!AH5:AH100)</f>
        <v>0</v>
      </c>
      <c r="AI53" s="14" cm="1">
        <f t="array" aca="1" ref="AI53" ca="1">INDIRECT(ADDRESS(4,COLUMN(),,,"Plan2"))*SUM(Plan2!AI5:AI100)</f>
        <v>0</v>
      </c>
      <c r="AJ53" s="14" cm="1">
        <f t="array" aca="1" ref="AJ53" ca="1">INDIRECT(ADDRESS(4,COLUMN(),,,"Plan2"))*SUM(Plan2!AJ5:AJ100)</f>
        <v>0</v>
      </c>
      <c r="AK53" s="14" cm="1">
        <f t="array" aca="1" ref="AK53" ca="1">INDIRECT(ADDRESS(4,COLUMN(),,,"Plan2"))*SUM(Plan2!AK5:AK100)</f>
        <v>0</v>
      </c>
      <c r="AL53" s="14" cm="1">
        <f t="array" aca="1" ref="AL53" ca="1">INDIRECT(ADDRESS(4,COLUMN(),,,"Plan2"))*SUM(Plan2!AL5:AL100)</f>
        <v>0</v>
      </c>
      <c r="AM53" s="14" cm="1">
        <f t="array" aca="1" ref="AM53" ca="1">INDIRECT(ADDRESS(4,COLUMN(),,,"Plan2"))*SUM(Plan2!AM5:AM100)</f>
        <v>0</v>
      </c>
      <c r="AN53" s="14" cm="1">
        <f t="array" aca="1" ref="AN53" ca="1">INDIRECT(ADDRESS(4,COLUMN(),,,"Plan2"))*SUM(Plan2!AN5:AN100)</f>
        <v>0</v>
      </c>
      <c r="AO53" s="14" cm="1">
        <f t="array" aca="1" ref="AO53" ca="1">INDIRECT(ADDRESS(4,COLUMN(),,,"Plan2"))*SUM(Plan2!AO5:AO100)</f>
        <v>0</v>
      </c>
      <c r="AP53" s="14" cm="1">
        <f t="array" aca="1" ref="AP53" ca="1">INDIRECT(ADDRESS(4,COLUMN(),,,"Plan2"))*SUM(Plan2!AP5:AP100)</f>
        <v>0</v>
      </c>
      <c r="AQ53" s="14" cm="1">
        <f t="array" aca="1" ref="AQ53" ca="1">INDIRECT(ADDRESS(4,COLUMN(),,,"Plan2"))*SUM(Plan2!AQ5:AQ100)</f>
        <v>15000</v>
      </c>
      <c r="AR53" s="14" cm="1">
        <f t="array" aca="1" ref="AR53" ca="1">INDIRECT(ADDRESS(4,COLUMN(),,,"Plan2"))*SUM(Plan2!AR5:AR100)</f>
        <v>0</v>
      </c>
      <c r="AS53" s="14" cm="1">
        <f t="array" aca="1" ref="AS53" ca="1">INDIRECT(ADDRESS(4,COLUMN(),,,"Plan2"))*SUM(Plan2!AS5:AS100)</f>
        <v>0</v>
      </c>
      <c r="AT53" s="14" cm="1">
        <f t="array" aca="1" ref="AT53" ca="1">INDIRECT(ADDRESS(4,COLUMN(),,,"Plan2"))*SUM(Plan2!AT5:AT100)</f>
        <v>0</v>
      </c>
      <c r="AU53" s="14" cm="1">
        <f t="array" aca="1" ref="AU53" ca="1">INDIRECT(ADDRESS(4,COLUMN(),,,"Plan2"))*SUM(Plan2!AU5:AU100)</f>
        <v>0</v>
      </c>
      <c r="AV53" s="14" cm="1">
        <f t="array" aca="1" ref="AV53" ca="1">INDIRECT(ADDRESS(4,COLUMN(),,,"Plan2"))*SUM(Plan2!AV5:AV100)</f>
        <v>0</v>
      </c>
      <c r="AW53" s="14" cm="1">
        <f t="array" aca="1" ref="AW53" ca="1">INDIRECT(ADDRESS(4,COLUMN(),,,"Plan2"))*SUM(Plan2!AW5:AW100)</f>
        <v>0</v>
      </c>
      <c r="AX53" s="14" cm="1">
        <f t="array" aca="1" ref="AX53" ca="1">INDIRECT(ADDRESS(4,COLUMN(),,,"Plan2"))*SUM(Plan2!AX5:AX100)</f>
        <v>0</v>
      </c>
      <c r="AY53" s="14" cm="1">
        <f t="array" aca="1" ref="AY53" ca="1">INDIRECT(ADDRESS(4,COLUMN(),,,"Plan2"))*SUM(Plan2!AY5:AY100)</f>
        <v>40000</v>
      </c>
      <c r="AZ53" s="14" cm="1">
        <f t="array" aca="1" ref="AZ53" ca="1">INDIRECT(ADDRESS(4,COLUMN(),,,"Plan2"))*SUM(Plan2!AZ5:AZ100)</f>
        <v>0</v>
      </c>
      <c r="BA53" s="14" cm="1">
        <f t="array" aca="1" ref="BA53" ca="1">INDIRECT(ADDRESS(4,COLUMN(),,,"Plan2"))*SUM(Plan2!BA5:BA100)</f>
        <v>45000</v>
      </c>
      <c r="BB53" s="14" cm="1">
        <f t="array" aca="1" ref="BB53" ca="1">INDIRECT(ADDRESS(4,COLUMN(),,,"Plan2"))*SUM(Plan2!BB5:BB100)</f>
        <v>20000</v>
      </c>
      <c r="BC53" s="14" cm="1">
        <f t="array" aca="1" ref="BC53" ca="1">INDIRECT(ADDRESS(4,COLUMN(),,,"Plan2"))*SUM(Plan2!BC5:BC100)</f>
        <v>50000</v>
      </c>
      <c r="BD53" s="14" cm="1">
        <f t="array" aca="1" ref="BD53" ca="1">INDIRECT(ADDRESS(4,COLUMN(),,,"Plan2"))*SUM(Plan2!BD5:BD100)</f>
        <v>0</v>
      </c>
      <c r="BE53" s="14" cm="1">
        <f t="array" aca="1" ref="BE53" ca="1">INDIRECT(ADDRESS(4,COLUMN(),,,"Plan2"))*SUM(Plan2!BE5:BE100)</f>
        <v>0</v>
      </c>
      <c r="BF53" s="14" cm="1">
        <f t="array" aca="1" ref="BF53" ca="1">INDIRECT(ADDRESS(4,COLUMN(),,,"Plan2"))*SUM(Plan2!BF5:BF100)</f>
        <v>0</v>
      </c>
      <c r="BG53" s="14" cm="1">
        <f t="array" aca="1" ref="BG53" ca="1">INDIRECT(ADDRESS(4,COLUMN(),,,"Plan2"))*SUM(Plan2!BG5:BG100)</f>
        <v>0</v>
      </c>
      <c r="BH53" s="14" cm="1">
        <f t="array" aca="1" ref="BH53" ca="1">INDIRECT(ADDRESS(4,COLUMN(),,,"Plan2"))*SUM(Plan2!BH5:BH100)</f>
        <v>0</v>
      </c>
      <c r="BI53" s="14" cm="1">
        <f t="array" aca="1" ref="BI53" ca="1">INDIRECT(ADDRESS(4,COLUMN(),,,"Plan2"))*SUM(Plan2!BI5:BI100)</f>
        <v>0</v>
      </c>
      <c r="BJ53" s="14" cm="1">
        <f t="array" aca="1" ref="BJ53" ca="1">INDIRECT(ADDRESS(4,COLUMN(),,,"Plan2"))*SUM(Plan2!BJ5:BJ100)</f>
        <v>0</v>
      </c>
      <c r="BK53" s="14" cm="1">
        <f t="array" aca="1" ref="BK53" ca="1">INDIRECT(ADDRESS(4,COLUMN(),,,"Plan2"))*SUM(Plan2!BK5:BK100)</f>
        <v>0</v>
      </c>
      <c r="BL53" s="14" cm="1">
        <f t="array" aca="1" ref="BL53" ca="1">INDIRECT(ADDRESS(4,COLUMN(),,,"Plan2"))*SUM(Plan2!BL5:BL100)</f>
        <v>0</v>
      </c>
      <c r="BM53" s="14" cm="1">
        <f t="array" aca="1" ref="BM53" ca="1">INDIRECT(ADDRESS(4,COLUMN(),,,"Plan2"))*SUM(Plan2!BM5:BM100)</f>
        <v>0</v>
      </c>
      <c r="BN53" s="14" cm="1">
        <f t="array" aca="1" ref="BN53" ca="1">INDIRECT(ADDRESS(4,COLUMN(),,,"Plan2"))*SUM(Plan2!BN5:BN100)</f>
        <v>0</v>
      </c>
      <c r="BO53" s="14" cm="1">
        <f t="array" aca="1" ref="BO53" ca="1">INDIRECT(ADDRESS(4,COLUMN(),,,"Plan2"))*SUM(Plan2!BO5:BO100)</f>
        <v>0</v>
      </c>
      <c r="BP53" s="14" cm="1">
        <f t="array" aca="1" ref="BP53" ca="1">INDIRECT(ADDRESS(4,COLUMN(),,,"Plan2"))*SUM(Plan2!BP5:BP100)</f>
        <v>0</v>
      </c>
      <c r="BQ53" s="14" cm="1">
        <f t="array" aca="1" ref="BQ53" ca="1">INDIRECT(ADDRESS(4,COLUMN(),,,"Plan2"))*SUM(Plan2!BQ5:BQ100)</f>
        <v>20000</v>
      </c>
      <c r="BR53" s="14" cm="1">
        <f t="array" aca="1" ref="BR53" ca="1">INDIRECT(ADDRESS(4,COLUMN(),,,"Plan2"))*SUM(Plan2!BR5:BR100)</f>
        <v>0</v>
      </c>
      <c r="BS53" s="14" cm="1">
        <f t="array" aca="1" ref="BS53" ca="1">INDIRECT(ADDRESS(4,COLUMN(),,,"Plan2"))*SUM(Plan2!BS5:BS100)</f>
        <v>0</v>
      </c>
      <c r="BT53" s="14" cm="1">
        <f t="array" aca="1" ref="BT53" ca="1">INDIRECT(ADDRESS(4,COLUMN(),,,"Plan2"))*SUM(Plan2!BT5:BT100)</f>
        <v>0</v>
      </c>
      <c r="BU53" s="14" cm="1">
        <f t="array" aca="1" ref="BU53" ca="1">INDIRECT(ADDRESS(4,COLUMN(),,,"Plan2"))*SUM(Plan2!BU5:BU100)</f>
        <v>0</v>
      </c>
      <c r="BV53" s="14" cm="1">
        <f t="array" aca="1" ref="BV53" ca="1">INDIRECT(ADDRESS(4,COLUMN(),,,"Plan2"))*SUM(Plan2!BV5:BV100)</f>
        <v>25000</v>
      </c>
      <c r="BW53" s="14" cm="1">
        <f t="array" aca="1" ref="BW53" ca="1">INDIRECT(ADDRESS(4,COLUMN(),,,"Plan2"))*SUM(Plan2!BW5:BW100)</f>
        <v>0</v>
      </c>
      <c r="BX53" s="14" cm="1">
        <f t="array" aca="1" ref="BX53" ca="1">INDIRECT(ADDRESS(4,COLUMN(),,,"Plan2"))*SUM(Plan2!BX5:BX100)</f>
        <v>0</v>
      </c>
      <c r="BY53" s="14" cm="1">
        <f t="array" aca="1" ref="BY53" ca="1">INDIRECT(ADDRESS(4,COLUMN(),,,"Plan2"))*SUM(Plan2!BY5:BY100)</f>
        <v>45000</v>
      </c>
      <c r="BZ53" s="14" cm="1">
        <f t="array" aca="1" ref="BZ53" ca="1">INDIRECT(ADDRESS(4,COLUMN(),,,"Plan2"))*SUM(Plan2!BZ5:BZ100)</f>
        <v>0</v>
      </c>
      <c r="CA53" s="14" cm="1">
        <f t="array" aca="1" ref="CA53" ca="1">INDIRECT(ADDRESS(4,COLUMN(),,,"Plan2"))*SUM(Plan2!CA5:CA100)</f>
        <v>0</v>
      </c>
      <c r="CB53" s="14" cm="1">
        <f t="array" aca="1" ref="CB53" ca="1">INDIRECT(ADDRESS(4,COLUMN(),,,"Plan2"))*SUM(Plan2!CB5:CB100)</f>
        <v>32500</v>
      </c>
      <c r="CC53" s="14" cm="1">
        <f t="array" aca="1" ref="CC53" ca="1">INDIRECT(ADDRESS(4,COLUMN(),,,"Plan2"))*SUM(Plan2!CC5:CC100)</f>
        <v>0</v>
      </c>
      <c r="CD53" s="14" cm="1">
        <f t="array" aca="1" ref="CD53" ca="1">INDIRECT(ADDRESS(4,COLUMN(),,,"Plan2"))*SUM(Plan2!CD5:CD100)</f>
        <v>0</v>
      </c>
      <c r="CE53" s="14" cm="1">
        <f t="array" aca="1" ref="CE53" ca="1">INDIRECT(ADDRESS(4,COLUMN(),,,"Plan2"))*SUM(Plan2!CE5:CE100)</f>
        <v>0</v>
      </c>
      <c r="CF53" s="14" cm="1">
        <f t="array" aca="1" ref="CF53" ca="1">INDIRECT(ADDRESS(4,COLUMN(),,,"Plan2"))*SUM(Plan2!CF5:CF100)</f>
        <v>0</v>
      </c>
      <c r="CG53" s="14" cm="1">
        <f t="array" aca="1" ref="CG53" ca="1">INDIRECT(ADDRESS(4,COLUMN(),,,"Plan2"))*SUM(Plan2!CG5:CG100)</f>
        <v>0</v>
      </c>
      <c r="CH53" s="14" cm="1">
        <f t="array" aca="1" ref="CH53" ca="1">INDIRECT(ADDRESS(4,COLUMN(),,,"Plan2"))*SUM(Plan2!CH5:CH100)</f>
        <v>0</v>
      </c>
      <c r="CI53" s="14" cm="1">
        <f t="array" aca="1" ref="CI53" ca="1">INDIRECT(ADDRESS(4,COLUMN(),,,"Plan2"))*SUM(Plan2!CI5:CI100)</f>
        <v>0</v>
      </c>
      <c r="CJ53" s="14" cm="1">
        <f t="array" aca="1" ref="CJ53" ca="1">INDIRECT(ADDRESS(4,COLUMN(),,,"Plan2"))*SUM(Plan2!CJ5:CJ100)</f>
        <v>0</v>
      </c>
      <c r="CK53" s="14" cm="1">
        <f t="array" aca="1" ref="CK53" ca="1">INDIRECT(ADDRESS(4,COLUMN(),,,"Plan2"))*SUM(Plan2!CK5:CK100)</f>
        <v>0</v>
      </c>
      <c r="CL53" s="14" cm="1">
        <f t="array" aca="1" ref="CL53" ca="1">INDIRECT(ADDRESS(4,COLUMN(),,,"Plan2"))*SUM(Plan2!CL5:CL100)</f>
        <v>15000</v>
      </c>
      <c r="CM53" s="14" cm="1">
        <f t="array" aca="1" ref="CM53" ca="1">INDIRECT(ADDRESS(4,COLUMN(),,,"Plan2"))*SUM(Plan2!CM5:CM100)</f>
        <v>20000</v>
      </c>
      <c r="CN53" s="14" cm="1">
        <f t="array" aca="1" ref="CN53" ca="1">INDIRECT(ADDRESS(4,COLUMN(),,,"Plan2"))*SUM(Plan2!CN5:CN100)</f>
        <v>0</v>
      </c>
      <c r="CO53" s="14" cm="1">
        <f t="array" aca="1" ref="CO53" ca="1">INDIRECT(ADDRESS(4,COLUMN(),,,"Plan2"))*SUM(Plan2!CO5:CO100)</f>
        <v>0</v>
      </c>
      <c r="CP53" s="14" cm="1">
        <f t="array" aca="1" ref="CP53" ca="1">INDIRECT(ADDRESS(4,COLUMN(),,,"Plan2"))*SUM(Plan2!CP5:CP100)</f>
        <v>0</v>
      </c>
      <c r="CQ53" s="14" cm="1">
        <f t="array" aca="1" ref="CQ53" ca="1">INDIRECT(ADDRESS(4,COLUMN(),,,"Plan2"))*SUM(Plan2!CQ5:CQ100)</f>
        <v>0</v>
      </c>
      <c r="CR53" s="14" cm="1">
        <f t="array" aca="1" ref="CR53" ca="1">INDIRECT(ADDRESS(4,COLUMN(),,,"Plan2"))*SUM(Plan2!CR5:CR100)</f>
        <v>30000</v>
      </c>
      <c r="CS53" s="14" cm="1">
        <f t="array" aca="1" ref="CS53" ca="1">INDIRECT(ADDRESS(4,COLUMN(),,,"Plan2"))*SUM(Plan2!CS5:CS100)</f>
        <v>25000</v>
      </c>
      <c r="CT53" s="14" cm="1">
        <f t="array" aca="1" ref="CT53" ca="1">INDIRECT(ADDRESS(4,COLUMN(),,,"Plan2"))*SUM(Plan2!CT5:CT100)</f>
        <v>0</v>
      </c>
      <c r="CU53" s="14" cm="1">
        <f t="array" aca="1" ref="CU53" ca="1">INDIRECT(ADDRESS(4,COLUMN(),,,"Plan2"))*SUM(Plan2!CU5:CU100)</f>
        <v>0</v>
      </c>
      <c r="CV53" s="14" cm="1">
        <f t="array" aca="1" ref="CV53" ca="1">INDIRECT(ADDRESS(4,COLUMN(),,,"Plan2"))*SUM(Plan2!CV5:CV100)</f>
        <v>0</v>
      </c>
      <c r="CW53" s="14" cm="1">
        <f t="array" aca="1" ref="CW53" ca="1">INDIRECT(ADDRESS(4,COLUMN(),,,"Plan2"))*SUM(Plan2!CW5:CW100)</f>
        <v>0</v>
      </c>
      <c r="CX53" s="14" cm="1">
        <f t="array" aca="1" ref="CX53" ca="1">INDIRECT(ADDRESS(4,COLUMN(),,,"Plan2"))*SUM(Plan2!CX5:CX100)</f>
        <v>0</v>
      </c>
      <c r="CY53" s="14" cm="1">
        <f t="array" aca="1" ref="CY53" ca="1">INDIRECT(ADDRESS(4,COLUMN(),,,"Plan2"))*SUM(Plan2!CY5:CY100)</f>
        <v>0</v>
      </c>
      <c r="CZ53" s="14" cm="1">
        <f t="array" aca="1" ref="CZ53" ca="1">INDIRECT(ADDRESS(4,COLUMN(),,,"Plan2"))*SUM(Plan2!CZ5:CZ100)</f>
        <v>0</v>
      </c>
      <c r="DA53" s="14" cm="1">
        <f t="array" aca="1" ref="DA53" ca="1">INDIRECT(ADDRESS(4,COLUMN(),,,"Plan2"))*SUM(Plan2!DA5:DA100)</f>
        <v>0</v>
      </c>
      <c r="DB53" s="14" cm="1">
        <f t="array" aca="1" ref="DB53" ca="1">INDIRECT(ADDRESS(4,COLUMN(),,,"Plan2"))*SUM(Plan2!DB5:DB100)</f>
        <v>0</v>
      </c>
      <c r="DC53" s="14" cm="1">
        <f t="array" aca="1" ref="DC53" ca="1">INDIRECT(ADDRESS(4,COLUMN(),,,"Plan2"))*SUM(Plan2!DC5:DC100)</f>
        <v>0</v>
      </c>
      <c r="DD53" s="14" cm="1">
        <f t="array" aca="1" ref="DD53" ca="1">INDIRECT(ADDRESS(4,COLUMN(),,,"Plan2"))*SUM(Plan2!DD5:DD100)</f>
        <v>0</v>
      </c>
      <c r="DE53" s="14" cm="1">
        <f t="array" aca="1" ref="DE53" ca="1">INDIRECT(ADDRESS(4,COLUMN(),,,"Plan2"))*SUM(Plan2!DE5:DE100)</f>
        <v>0</v>
      </c>
      <c r="DF53" s="14" cm="1">
        <f t="array" aca="1" ref="DF53" ca="1">INDIRECT(ADDRESS(4,COLUMN(),,,"Plan2"))*SUM(Plan2!DF5:DF100)</f>
        <v>25000</v>
      </c>
      <c r="DG53" s="14" cm="1">
        <f t="array" aca="1" ref="DG53" ca="1">INDIRECT(ADDRESS(4,COLUMN(),,,"Plan2"))*SUM(Plan2!DG5:DG100)</f>
        <v>25000</v>
      </c>
      <c r="DH53" s="14" cm="1">
        <f t="array" aca="1" ref="DH53" ca="1">INDIRECT(ADDRESS(4,COLUMN(),,,"Plan2"))*SUM(Plan2!DH5:DH100)</f>
        <v>0</v>
      </c>
      <c r="DI53" s="14" cm="1">
        <f t="array" aca="1" ref="DI53" ca="1">INDIRECT(ADDRESS(4,COLUMN(),,,"Plan2"))*SUM(Plan2!DI5:DI100)</f>
        <v>0</v>
      </c>
      <c r="DJ53" s="14" cm="1">
        <f t="array" aca="1" ref="DJ53" ca="1">INDIRECT(ADDRESS(4,COLUMN(),,,"Plan2"))*SUM(Plan2!DJ5:DJ100)</f>
        <v>0</v>
      </c>
      <c r="DK53" s="14" cm="1">
        <f t="array" aca="1" ref="DK53" ca="1">INDIRECT(ADDRESS(4,COLUMN(),,,"Plan2"))*SUM(Plan2!DK5:DK100)</f>
        <v>0</v>
      </c>
      <c r="DL53" s="14" cm="1">
        <f t="array" aca="1" ref="DL53" ca="1">INDIRECT(ADDRESS(4,COLUMN(),,,"Plan2"))*SUM(Plan2!DL5:DL100)</f>
        <v>7500</v>
      </c>
      <c r="DM53" s="14" cm="1">
        <f t="array" aca="1" ref="DM53" ca="1">INDIRECT(ADDRESS(4,COLUMN(),,,"Plan2"))*SUM(Plan2!DM5:DM100)</f>
        <v>0</v>
      </c>
      <c r="DN53" s="14" cm="1">
        <f t="array" aca="1" ref="DN53" ca="1">INDIRECT(ADDRESS(4,COLUMN(),,,"Plan2"))*SUM(Plan2!DN5:DN100)</f>
        <v>14000</v>
      </c>
      <c r="DO53" s="14" cm="1">
        <f t="array" aca="1" ref="DO53" ca="1">INDIRECT(ADDRESS(4,COLUMN(),,,"Plan2"))*SUM(Plan2!DO5:DO100)</f>
        <v>0</v>
      </c>
      <c r="DP53" s="14" cm="1">
        <f t="array" aca="1" ref="DP53" ca="1">INDIRECT(ADDRESS(4,COLUMN(),,,"Plan2"))*SUM(Plan2!DP5:DP100)</f>
        <v>0</v>
      </c>
      <c r="DQ53" s="14" cm="1">
        <f t="array" aca="1" ref="DQ53" ca="1">INDIRECT(ADDRESS(4,COLUMN(),,,"Plan2"))*SUM(Plan2!DQ5:DQ100)</f>
        <v>0</v>
      </c>
      <c r="DR53" s="14" cm="1">
        <f t="array" aca="1" ref="DR53" ca="1">INDIRECT(ADDRESS(4,COLUMN(),,,"Plan2"))*SUM(Plan2!DR5:DR100)</f>
        <v>0</v>
      </c>
      <c r="DS53" s="14" cm="1">
        <f t="array" aca="1" ref="DS53" ca="1">INDIRECT(ADDRESS(4,COLUMN(),,,"Plan2"))*SUM(Plan2!DS5:DS100)</f>
        <v>0</v>
      </c>
      <c r="DT53" s="14" cm="1">
        <f t="array" aca="1" ref="DT53" ca="1">INDIRECT(ADDRESS(4,COLUMN(),,,"Plan2"))*SUM(Plan2!DT5:DT100)</f>
        <v>0</v>
      </c>
      <c r="DU53" s="14" cm="1">
        <f t="array" aca="1" ref="DU53" ca="1">INDIRECT(ADDRESS(4,COLUMN(),,,"Plan2"))*SUM(Plan2!DU5:DU100)</f>
        <v>0</v>
      </c>
      <c r="DV53" s="14" cm="1">
        <f t="array" aca="1" ref="DV53" ca="1">INDIRECT(ADDRESS(4,COLUMN(),,,"Plan2"))*SUM(Plan2!DV5:DV100)</f>
        <v>0</v>
      </c>
      <c r="DW53" s="14" cm="1">
        <f t="array" aca="1" ref="DW53" ca="1">INDIRECT(ADDRESS(4,COLUMN(),,,"Plan2"))*SUM(Plan2!DW5:DW100)</f>
        <v>0</v>
      </c>
      <c r="DX53" s="14" cm="1">
        <f t="array" aca="1" ref="DX53" ca="1">INDIRECT(ADDRESS(4,COLUMN(),,,"Plan2"))*SUM(Plan2!DX5:DX100)</f>
        <v>0</v>
      </c>
      <c r="DY53" s="14" cm="1">
        <f t="array" aca="1" ref="DY53" ca="1">INDIRECT(ADDRESS(4,COLUMN(),,,"Plan2"))*SUM(Plan2!DY5:DY100)</f>
        <v>0</v>
      </c>
      <c r="DZ53" s="14" cm="1">
        <f t="array" aca="1" ref="DZ53" ca="1">INDIRECT(ADDRESS(4,COLUMN(),,,"Plan2"))*SUM(Plan2!DZ5:DZ100)</f>
        <v>0</v>
      </c>
      <c r="EA53" s="14" cm="1">
        <f t="array" aca="1" ref="EA53" ca="1">INDIRECT(ADDRESS(4,COLUMN(),,,"Plan2"))*SUM(Plan2!EA5:EA100)</f>
        <v>0</v>
      </c>
      <c r="EB53" s="14" cm="1">
        <f t="array" aca="1" ref="EB53" ca="1">INDIRECT(ADDRESS(4,COLUMN(),,,"Plan2"))*SUM(Plan2!EB5:EB100)</f>
        <v>0</v>
      </c>
      <c r="EC53" s="14" cm="1">
        <f t="array" aca="1" ref="EC53" ca="1">INDIRECT(ADDRESS(4,COLUMN(),,,"Plan2"))*SUM(Plan2!EC5:EC100)</f>
        <v>0</v>
      </c>
      <c r="ED53" s="14" cm="1">
        <f t="array" aca="1" ref="ED53" ca="1">INDIRECT(ADDRESS(4,COLUMN(),,,"Plan2"))*SUM(Plan2!ED5:ED100)</f>
        <v>0</v>
      </c>
      <c r="EE53" s="14" cm="1">
        <f t="array" aca="1" ref="EE53" ca="1">INDIRECT(ADDRESS(4,COLUMN(),,,"Plan2"))*SUM(Plan2!EE5:EE100)</f>
        <v>0</v>
      </c>
      <c r="EF53" s="14" cm="1">
        <f t="array" aca="1" ref="EF53" ca="1">INDIRECT(ADDRESS(4,COLUMN(),,,"Plan2"))*SUM(Plan2!EF5:EF100)</f>
        <v>0</v>
      </c>
      <c r="EG53" s="14" cm="1">
        <f t="array" aca="1" ref="EG53" ca="1">INDIRECT(ADDRESS(4,COLUMN(),,,"Plan2"))*SUM(Plan2!EG5:EG100)</f>
        <v>0</v>
      </c>
      <c r="EH53" s="14" cm="1">
        <f t="array" aca="1" ref="EH53" ca="1">INDIRECT(ADDRESS(4,COLUMN(),,,"Plan2"))*SUM(Plan2!EH5:EH100)</f>
        <v>0</v>
      </c>
      <c r="EI53" s="14" cm="1">
        <f t="array" aca="1" ref="EI53" ca="1">INDIRECT(ADDRESS(4,COLUMN(),,,"Plan2"))*SUM(Plan2!EI5:EI100)</f>
        <v>0</v>
      </c>
      <c r="EJ53" s="14" cm="1">
        <f t="array" aca="1" ref="EJ53" ca="1">INDIRECT(ADDRESS(4,COLUMN(),,,"Plan2"))*SUM(Plan2!EJ5:EJ100)</f>
        <v>0</v>
      </c>
      <c r="EK53" s="14" cm="1">
        <f t="array" aca="1" ref="EK53" ca="1">INDIRECT(ADDRESS(4,COLUMN(),,,"Plan2"))*SUM(Plan2!EK5:EK100)</f>
        <v>0</v>
      </c>
      <c r="EL53" s="14" cm="1">
        <f t="array" aca="1" ref="EL53" ca="1">INDIRECT(ADDRESS(4,COLUMN(),,,"Plan2"))*SUM(Plan2!EL5:EL100)</f>
        <v>0</v>
      </c>
      <c r="EM53" s="14" cm="1">
        <f t="array" aca="1" ref="EM53" ca="1">INDIRECT(ADDRESS(4,COLUMN(),,,"Plan2"))*SUM(Plan2!EM5:EM100)</f>
        <v>0</v>
      </c>
      <c r="EN53" s="14" cm="1">
        <f t="array" aca="1" ref="EN53" ca="1">INDIRECT(ADDRESS(4,COLUMN(),,,"Plan2"))*SUM(Plan2!EN5:EN100)</f>
        <v>0</v>
      </c>
      <c r="EO53" s="14" cm="1">
        <f t="array" aca="1" ref="EO53" ca="1">INDIRECT(ADDRESS(4,COLUMN(),,,"Plan2"))*SUM(Plan2!EO5:EO100)</f>
        <v>0</v>
      </c>
      <c r="EP53" s="14" cm="1">
        <f t="array" aca="1" ref="EP53" ca="1">INDIRECT(ADDRESS(4,COLUMN(),,,"Plan2"))*SUM(Plan2!EP5:EP100)</f>
        <v>0</v>
      </c>
      <c r="EQ53" s="14" cm="1">
        <f t="array" aca="1" ref="EQ53" ca="1">INDIRECT(ADDRESS(4,COLUMN(),,,"Plan2"))*SUM(Plan2!EQ5:EQ100)</f>
        <v>0</v>
      </c>
      <c r="ER53" s="14" cm="1">
        <f t="array" aca="1" ref="ER53" ca="1">INDIRECT(ADDRESS(4,COLUMN(),,,"Plan2"))*SUM(Plan2!ER5:ER100)</f>
        <v>0</v>
      </c>
      <c r="ES53" s="14" cm="1">
        <f t="array" aca="1" ref="ES53" ca="1">INDIRECT(ADDRESS(4,COLUMN(),,,"Plan2"))*SUM(Plan2!ES5:ES100)</f>
        <v>0</v>
      </c>
      <c r="ET53" s="14" cm="1">
        <f t="array" aca="1" ref="ET53" ca="1">INDIRECT(ADDRESS(4,COLUMN(),,,"Plan2"))*SUM(Plan2!ET5:ET100)</f>
        <v>0</v>
      </c>
      <c r="EU53" s="14" cm="1">
        <f t="array" aca="1" ref="EU53" ca="1">INDIRECT(ADDRESS(4,COLUMN(),,,"Plan2"))*SUM(Plan2!EU5:EU100)</f>
        <v>0</v>
      </c>
      <c r="EV53" s="14" cm="1">
        <f t="array" aca="1" ref="EV53" ca="1">INDIRECT(ADDRESS(4,COLUMN(),,,"Plan2"))*SUM(Plan2!EV5:EV100)</f>
        <v>0</v>
      </c>
      <c r="EW53" s="14" cm="1">
        <f t="array" aca="1" ref="EW53" ca="1">INDIRECT(ADDRESS(4,COLUMN(),,,"Plan2"))*SUM(Plan2!EW5:EW100)</f>
        <v>0</v>
      </c>
      <c r="EX53" s="14" cm="1">
        <f t="array" aca="1" ref="EX53" ca="1">INDIRECT(ADDRESS(4,COLUMN(),,,"Plan2"))*SUM(Plan2!EX5:EX100)</f>
        <v>0</v>
      </c>
      <c r="EY53" s="14" cm="1">
        <f t="array" aca="1" ref="EY53" ca="1">INDIRECT(ADDRESS(4,COLUMN(),,,"Plan2"))*SUM(Plan2!EY5:EY100)</f>
        <v>0</v>
      </c>
      <c r="EZ53" s="14" cm="1">
        <f t="array" aca="1" ref="EZ53" ca="1">INDIRECT(ADDRESS(4,COLUMN(),,,"Plan2"))*SUM(Plan2!EZ5:EZ100)</f>
        <v>0</v>
      </c>
      <c r="FA53" s="14" cm="1">
        <f t="array" aca="1" ref="FA53" ca="1">INDIRECT(ADDRESS(4,COLUMN(),,,"Plan2"))*SUM(Plan2!FA5:FA100)</f>
        <v>0</v>
      </c>
      <c r="FB53" s="14" cm="1">
        <f t="array" aca="1" ref="FB53" ca="1">INDIRECT(ADDRESS(4,COLUMN(),,,"Plan2"))*SUM(Plan2!FB5:FB100)</f>
        <v>0</v>
      </c>
      <c r="FC53" s="14" cm="1">
        <f t="array" aca="1" ref="FC53" ca="1">INDIRECT(ADDRESS(4,COLUMN(),,,"Plan2"))*SUM(Plan2!FC5:FC100)</f>
        <v>0</v>
      </c>
      <c r="FD53" s="14" cm="1">
        <f t="array" aca="1" ref="FD53" ca="1">INDIRECT(ADDRESS(4,COLUMN(),,,"Plan2"))*SUM(Plan2!FD5:FD100)</f>
        <v>0</v>
      </c>
      <c r="FE53" s="14" cm="1">
        <f t="array" aca="1" ref="FE53" ca="1">INDIRECT(ADDRESS(4,COLUMN(),,,"Plan2"))*SUM(Plan2!FE5:FE100)</f>
        <v>0</v>
      </c>
      <c r="FF53" s="14" cm="1">
        <f t="array" aca="1" ref="FF53" ca="1">INDIRECT(ADDRESS(4,COLUMN(),,,"Plan2"))*SUM(Plan2!FF5:FF100)</f>
        <v>0</v>
      </c>
      <c r="FG53" s="14" cm="1">
        <f t="array" aca="1" ref="FG53" ca="1">INDIRECT(ADDRESS(4,COLUMN(),,,"Plan2"))*SUM(Plan2!FG5:FG100)</f>
        <v>0</v>
      </c>
      <c r="FH53" s="14" cm="1">
        <f t="array" aca="1" ref="FH53" ca="1">INDIRECT(ADDRESS(4,COLUMN(),,,"Plan2"))*SUM(Plan2!FH5:FH100)</f>
        <v>0</v>
      </c>
      <c r="FI53" s="14" cm="1">
        <f t="array" aca="1" ref="FI53" ca="1">INDIRECT(ADDRESS(4,COLUMN(),,,"Plan2"))*SUM(Plan2!FI5:FI100)</f>
        <v>0</v>
      </c>
      <c r="FJ53" s="14" cm="1">
        <f t="array" aca="1" ref="FJ53" ca="1">INDIRECT(ADDRESS(4,COLUMN(),,,"Plan2"))*SUM(Plan2!FJ5:FJ100)</f>
        <v>0</v>
      </c>
      <c r="FK53" s="14" cm="1">
        <f t="array" aca="1" ref="FK53" ca="1">INDIRECT(ADDRESS(4,COLUMN(),,,"Plan2"))*SUM(Plan2!FK5:FK100)</f>
        <v>0</v>
      </c>
      <c r="FL53" s="14" cm="1">
        <f t="array" aca="1" ref="FL53" ca="1">INDIRECT(ADDRESS(4,COLUMN(),,,"Plan2"))*SUM(Plan2!FL5:FL100)</f>
        <v>0</v>
      </c>
      <c r="FM53" s="14" cm="1">
        <f t="array" aca="1" ref="FM53" ca="1">INDIRECT(ADDRESS(4,COLUMN(),,,"Plan2"))*SUM(Plan2!FM5:FM100)</f>
        <v>0</v>
      </c>
      <c r="FN53" s="14" cm="1">
        <f t="array" aca="1" ref="FN53" ca="1">INDIRECT(ADDRESS(4,COLUMN(),,,"Plan2"))*SUM(Plan2!FN5:FN100)</f>
        <v>0</v>
      </c>
      <c r="FO53" s="14" cm="1">
        <f t="array" aca="1" ref="FO53" ca="1">INDIRECT(ADDRESS(4,COLUMN(),,,"Plan2"))*SUM(Plan2!FO5:FO100)</f>
        <v>0</v>
      </c>
      <c r="FP53" s="14" cm="1">
        <f t="array" aca="1" ref="FP53" ca="1">INDIRECT(ADDRESS(4,COLUMN(),,,"Plan2"))*SUM(Plan2!FP5:FP100)</f>
        <v>0</v>
      </c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9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</row>
    <row r="54" spans="1:325" s="71" customFormat="1" ht="15.75" thickBot="1" x14ac:dyDescent="0.3">
      <c r="A54" s="69" t="s">
        <v>1</v>
      </c>
      <c r="B54" s="70"/>
      <c r="C54" s="71">
        <f t="shared" ref="C54:H54" ca="1" si="12">SUM(C53-C52)</f>
        <v>18150</v>
      </c>
      <c r="D54" s="71">
        <f t="shared" ca="1" si="12"/>
        <v>0</v>
      </c>
      <c r="E54" s="71">
        <f t="shared" ca="1" si="12"/>
        <v>33060</v>
      </c>
      <c r="F54" s="71">
        <f t="shared" ca="1" si="12"/>
        <v>-69798</v>
      </c>
      <c r="G54" s="71">
        <f t="shared" ca="1" si="12"/>
        <v>-30994</v>
      </c>
      <c r="H54" s="71">
        <f t="shared" ca="1" si="12"/>
        <v>-87912</v>
      </c>
      <c r="I54" s="71">
        <f t="shared" ref="I54:S54" ca="1" si="13">SUM(I53-I52)</f>
        <v>-255388</v>
      </c>
      <c r="J54" s="71">
        <f t="shared" ca="1" si="13"/>
        <v>13700</v>
      </c>
      <c r="K54" s="71">
        <f t="shared" ca="1" si="13"/>
        <v>-117322</v>
      </c>
      <c r="L54" s="71">
        <f ca="1">SUM(L53-L52)</f>
        <v>-257604</v>
      </c>
      <c r="M54" s="71">
        <f t="shared" ca="1" si="13"/>
        <v>-104804</v>
      </c>
      <c r="N54" s="71">
        <f t="shared" ca="1" si="13"/>
        <v>-113000</v>
      </c>
      <c r="O54" s="71">
        <f ca="1">SUM(O53-O52)</f>
        <v>-123950</v>
      </c>
      <c r="P54" s="71">
        <f t="shared" ca="1" si="13"/>
        <v>-149114</v>
      </c>
      <c r="Q54" s="71">
        <f ca="1">SUM(Q53-Q52)</f>
        <v>-1630</v>
      </c>
      <c r="R54" s="71">
        <f t="shared" ca="1" si="13"/>
        <v>-324614</v>
      </c>
      <c r="S54" s="71">
        <f t="shared" ca="1" si="13"/>
        <v>-8276</v>
      </c>
      <c r="T54" s="71">
        <f ca="1">SUM(T53-T52)</f>
        <v>13484</v>
      </c>
      <c r="U54" s="71">
        <f t="shared" ref="U54:CF54" ca="1" si="14">SUM(U53-U52)</f>
        <v>-830</v>
      </c>
      <c r="V54" s="71">
        <f t="shared" ca="1" si="14"/>
        <v>0</v>
      </c>
      <c r="W54" s="71">
        <f t="shared" ca="1" si="14"/>
        <v>-107366</v>
      </c>
      <c r="X54" s="71">
        <f t="shared" ca="1" si="14"/>
        <v>-40056</v>
      </c>
      <c r="Y54" s="71">
        <f t="shared" ca="1" si="14"/>
        <v>-135918</v>
      </c>
      <c r="Z54" s="71">
        <f t="shared" ca="1" si="14"/>
        <v>-244104</v>
      </c>
      <c r="AA54" s="71">
        <f t="shared" ca="1" si="14"/>
        <v>-62400</v>
      </c>
      <c r="AB54" s="71">
        <f t="shared" ca="1" si="14"/>
        <v>-34190</v>
      </c>
      <c r="AC54" s="71">
        <f t="shared" ca="1" si="14"/>
        <v>0</v>
      </c>
      <c r="AD54" s="71">
        <f t="shared" ca="1" si="14"/>
        <v>-2638</v>
      </c>
      <c r="AE54" s="71">
        <f t="shared" ca="1" si="14"/>
        <v>-16238</v>
      </c>
      <c r="AF54" s="71">
        <f t="shared" ca="1" si="14"/>
        <v>-500</v>
      </c>
      <c r="AG54" s="71">
        <f t="shared" ca="1" si="14"/>
        <v>-21330</v>
      </c>
      <c r="AH54" s="71">
        <f t="shared" ca="1" si="14"/>
        <v>-17678</v>
      </c>
      <c r="AI54" s="71">
        <f t="shared" ca="1" si="14"/>
        <v>-3578</v>
      </c>
      <c r="AJ54" s="71">
        <f t="shared" ca="1" si="14"/>
        <v>-41086</v>
      </c>
      <c r="AK54" s="71">
        <f t="shared" ca="1" si="14"/>
        <v>-16876</v>
      </c>
      <c r="AL54" s="71">
        <f t="shared" ca="1" si="14"/>
        <v>-9742</v>
      </c>
      <c r="AM54" s="71">
        <f t="shared" ca="1" si="14"/>
        <v>-7992</v>
      </c>
      <c r="AN54" s="71">
        <f t="shared" ca="1" si="14"/>
        <v>0</v>
      </c>
      <c r="AO54" s="71">
        <f t="shared" ca="1" si="14"/>
        <v>-6500</v>
      </c>
      <c r="AP54" s="71">
        <f t="shared" ca="1" si="14"/>
        <v>-2578</v>
      </c>
      <c r="AQ54" s="71">
        <f t="shared" ca="1" si="14"/>
        <v>1360</v>
      </c>
      <c r="AR54" s="71">
        <f t="shared" ca="1" si="14"/>
        <v>-30</v>
      </c>
      <c r="AS54" s="71">
        <f t="shared" ca="1" si="14"/>
        <v>-500</v>
      </c>
      <c r="AT54" s="71">
        <f t="shared" ca="1" si="14"/>
        <v>-500</v>
      </c>
      <c r="AU54" s="71">
        <f t="shared" ca="1" si="14"/>
        <v>0</v>
      </c>
      <c r="AV54" s="71">
        <f t="shared" ca="1" si="14"/>
        <v>0</v>
      </c>
      <c r="AW54" s="71">
        <f t="shared" ca="1" si="14"/>
        <v>-24976</v>
      </c>
      <c r="AX54" s="71">
        <f t="shared" ca="1" si="14"/>
        <v>-1030</v>
      </c>
      <c r="AY54" s="71">
        <f t="shared" ca="1" si="14"/>
        <v>38410</v>
      </c>
      <c r="AZ54" s="71">
        <f t="shared" ca="1" si="14"/>
        <v>-15000</v>
      </c>
      <c r="BA54" s="71">
        <f t="shared" ca="1" si="14"/>
        <v>43960</v>
      </c>
      <c r="BB54" s="71">
        <f t="shared" ca="1" si="14"/>
        <v>20000</v>
      </c>
      <c r="BC54" s="71">
        <f t="shared" ca="1" si="14"/>
        <v>49500</v>
      </c>
      <c r="BD54" s="71">
        <f t="shared" ca="1" si="14"/>
        <v>-1880</v>
      </c>
      <c r="BE54" s="71">
        <f t="shared" ca="1" si="14"/>
        <v>0</v>
      </c>
      <c r="BF54" s="71">
        <f t="shared" ca="1" si="14"/>
        <v>-11773</v>
      </c>
      <c r="BG54" s="71">
        <f t="shared" ca="1" si="14"/>
        <v>-9077</v>
      </c>
      <c r="BH54" s="71">
        <f t="shared" ca="1" si="14"/>
        <v>0</v>
      </c>
      <c r="BI54" s="71">
        <f t="shared" ca="1" si="14"/>
        <v>0</v>
      </c>
      <c r="BJ54" s="71">
        <f t="shared" ca="1" si="14"/>
        <v>0</v>
      </c>
      <c r="BK54" s="71">
        <f t="shared" ca="1" si="14"/>
        <v>-30</v>
      </c>
      <c r="BL54" s="71">
        <f t="shared" ca="1" si="14"/>
        <v>0</v>
      </c>
      <c r="BM54" s="71">
        <f t="shared" ca="1" si="14"/>
        <v>0</v>
      </c>
      <c r="BN54" s="71">
        <f t="shared" ca="1" si="14"/>
        <v>0</v>
      </c>
      <c r="BO54" s="71">
        <f t="shared" ca="1" si="14"/>
        <v>-24310</v>
      </c>
      <c r="BP54" s="71">
        <f t="shared" ca="1" si="14"/>
        <v>0</v>
      </c>
      <c r="BQ54" s="71">
        <f t="shared" ca="1" si="14"/>
        <v>13600</v>
      </c>
      <c r="BR54" s="71">
        <f t="shared" ca="1" si="14"/>
        <v>-17558</v>
      </c>
      <c r="BS54" s="71">
        <f t="shared" ca="1" si="14"/>
        <v>-500</v>
      </c>
      <c r="BT54" s="71">
        <f t="shared" ca="1" si="14"/>
        <v>-4000</v>
      </c>
      <c r="BU54" s="71">
        <f t="shared" ca="1" si="14"/>
        <v>-1000</v>
      </c>
      <c r="BV54" s="71">
        <f t="shared" ca="1" si="14"/>
        <v>18600</v>
      </c>
      <c r="BW54" s="71">
        <f t="shared" ca="1" si="14"/>
        <v>0</v>
      </c>
      <c r="BX54" s="71">
        <f t="shared" ca="1" si="14"/>
        <v>0</v>
      </c>
      <c r="BY54" s="71">
        <f t="shared" ca="1" si="14"/>
        <v>43700</v>
      </c>
      <c r="BZ54" s="71">
        <f t="shared" ca="1" si="14"/>
        <v>-13870</v>
      </c>
      <c r="CA54" s="71">
        <f t="shared" ca="1" si="14"/>
        <v>-41210</v>
      </c>
      <c r="CB54" s="71">
        <f t="shared" ca="1" si="14"/>
        <v>32500</v>
      </c>
      <c r="CC54" s="71">
        <f t="shared" ca="1" si="14"/>
        <v>0</v>
      </c>
      <c r="CD54" s="71">
        <f t="shared" ca="1" si="14"/>
        <v>-13570</v>
      </c>
      <c r="CE54" s="71">
        <f t="shared" ca="1" si="14"/>
        <v>-2498</v>
      </c>
      <c r="CF54" s="71">
        <f t="shared" ca="1" si="14"/>
        <v>-2198</v>
      </c>
      <c r="CG54" s="71">
        <f t="shared" ref="CG54:ER54" ca="1" si="15">SUM(CG53-CG52)</f>
        <v>-500</v>
      </c>
      <c r="CH54" s="71">
        <f t="shared" ca="1" si="15"/>
        <v>-10610</v>
      </c>
      <c r="CI54" s="71">
        <f t="shared" ca="1" si="15"/>
        <v>0</v>
      </c>
      <c r="CJ54" s="71">
        <f t="shared" ca="1" si="15"/>
        <v>-30</v>
      </c>
      <c r="CK54" s="71">
        <f t="shared" ca="1" si="15"/>
        <v>0</v>
      </c>
      <c r="CL54" s="71">
        <f t="shared" ca="1" si="15"/>
        <v>1140</v>
      </c>
      <c r="CM54" s="71">
        <f t="shared" ca="1" si="15"/>
        <v>20000</v>
      </c>
      <c r="CN54" s="71">
        <f t="shared" ca="1" si="15"/>
        <v>-600</v>
      </c>
      <c r="CO54" s="71">
        <f t="shared" ca="1" si="15"/>
        <v>0</v>
      </c>
      <c r="CP54" s="71">
        <f t="shared" ca="1" si="15"/>
        <v>0</v>
      </c>
      <c r="CQ54" s="71">
        <f t="shared" ca="1" si="15"/>
        <v>0</v>
      </c>
      <c r="CR54" s="71">
        <f t="shared" ca="1" si="15"/>
        <v>29950</v>
      </c>
      <c r="CS54" s="71">
        <f t="shared" ca="1" si="15"/>
        <v>25000</v>
      </c>
      <c r="CT54" s="71">
        <f t="shared" ca="1" si="15"/>
        <v>0</v>
      </c>
      <c r="CU54" s="71">
        <f t="shared" ca="1" si="15"/>
        <v>0</v>
      </c>
      <c r="CV54" s="71">
        <f t="shared" ca="1" si="15"/>
        <v>0</v>
      </c>
      <c r="CW54" s="71">
        <f t="shared" ca="1" si="15"/>
        <v>0</v>
      </c>
      <c r="CX54" s="71">
        <f t="shared" ca="1" si="15"/>
        <v>0</v>
      </c>
      <c r="CY54" s="71">
        <f t="shared" ca="1" si="15"/>
        <v>0</v>
      </c>
      <c r="CZ54" s="71">
        <f t="shared" ca="1" si="15"/>
        <v>0</v>
      </c>
      <c r="DA54" s="71">
        <f t="shared" ca="1" si="15"/>
        <v>-500</v>
      </c>
      <c r="DB54" s="71">
        <f t="shared" ca="1" si="15"/>
        <v>0</v>
      </c>
      <c r="DC54" s="71">
        <f t="shared" ca="1" si="15"/>
        <v>-500</v>
      </c>
      <c r="DD54" s="71">
        <f t="shared" ca="1" si="15"/>
        <v>0</v>
      </c>
      <c r="DE54" s="71">
        <f t="shared" ca="1" si="15"/>
        <v>0</v>
      </c>
      <c r="DF54" s="71">
        <f t="shared" ca="1" si="15"/>
        <v>16000</v>
      </c>
      <c r="DG54" s="71">
        <f t="shared" ca="1" si="15"/>
        <v>24970</v>
      </c>
      <c r="DH54" s="71">
        <f t="shared" ca="1" si="15"/>
        <v>-2110</v>
      </c>
      <c r="DI54" s="71">
        <f t="shared" ca="1" si="15"/>
        <v>0</v>
      </c>
      <c r="DJ54" s="71">
        <f t="shared" ca="1" si="15"/>
        <v>0</v>
      </c>
      <c r="DK54" s="71">
        <f t="shared" ca="1" si="15"/>
        <v>0</v>
      </c>
      <c r="DL54" s="71">
        <f t="shared" ca="1" si="15"/>
        <v>7100</v>
      </c>
      <c r="DM54" s="71">
        <f t="shared" ca="1" si="15"/>
        <v>0</v>
      </c>
      <c r="DN54" s="71">
        <f t="shared" ca="1" si="15"/>
        <v>13670</v>
      </c>
      <c r="DO54" s="71">
        <f t="shared" ca="1" si="15"/>
        <v>0</v>
      </c>
      <c r="DP54" s="71">
        <f t="shared" ca="1" si="15"/>
        <v>0</v>
      </c>
      <c r="DQ54" s="71">
        <f t="shared" ca="1" si="15"/>
        <v>0</v>
      </c>
      <c r="DR54" s="71">
        <f t="shared" ca="1" si="15"/>
        <v>-26100</v>
      </c>
      <c r="DS54" s="71">
        <f t="shared" ca="1" si="15"/>
        <v>-26100</v>
      </c>
      <c r="DT54" s="71">
        <f t="shared" ca="1" si="15"/>
        <v>-3960</v>
      </c>
      <c r="DU54" s="71">
        <f t="shared" ca="1" si="15"/>
        <v>-50</v>
      </c>
      <c r="DV54" s="71">
        <f t="shared" ca="1" si="15"/>
        <v>0</v>
      </c>
      <c r="DW54" s="71">
        <f t="shared" ca="1" si="15"/>
        <v>0</v>
      </c>
      <c r="DX54" s="71">
        <f t="shared" ca="1" si="15"/>
        <v>-11850</v>
      </c>
      <c r="DY54" s="71">
        <f t="shared" ca="1" si="15"/>
        <v>0</v>
      </c>
      <c r="DZ54" s="71">
        <f t="shared" ca="1" si="15"/>
        <v>-20000</v>
      </c>
      <c r="EA54" s="71">
        <f t="shared" ca="1" si="15"/>
        <v>0</v>
      </c>
      <c r="EB54" s="71">
        <f t="shared" ca="1" si="15"/>
        <v>0</v>
      </c>
      <c r="EC54" s="71">
        <f t="shared" ca="1" si="15"/>
        <v>0</v>
      </c>
      <c r="ED54" s="71">
        <f t="shared" ca="1" si="15"/>
        <v>0</v>
      </c>
      <c r="EE54" s="71">
        <f t="shared" ca="1" si="15"/>
        <v>0</v>
      </c>
      <c r="EF54" s="71">
        <f t="shared" ca="1" si="15"/>
        <v>0</v>
      </c>
      <c r="EG54" s="71">
        <f t="shared" ca="1" si="15"/>
        <v>0</v>
      </c>
      <c r="EH54" s="71">
        <f t="shared" ca="1" si="15"/>
        <v>0</v>
      </c>
      <c r="EI54" s="71">
        <f t="shared" ca="1" si="15"/>
        <v>0</v>
      </c>
      <c r="EJ54" s="71">
        <f t="shared" ca="1" si="15"/>
        <v>0</v>
      </c>
      <c r="EK54" s="71">
        <f t="shared" ca="1" si="15"/>
        <v>-50</v>
      </c>
      <c r="EL54" s="71">
        <f t="shared" ca="1" si="15"/>
        <v>0</v>
      </c>
      <c r="EM54" s="71">
        <f t="shared" ca="1" si="15"/>
        <v>0</v>
      </c>
      <c r="EN54" s="71">
        <f t="shared" ca="1" si="15"/>
        <v>0</v>
      </c>
      <c r="EO54" s="71">
        <f t="shared" ca="1" si="15"/>
        <v>0</v>
      </c>
      <c r="EP54" s="71">
        <f t="shared" ca="1" si="15"/>
        <v>0</v>
      </c>
      <c r="EQ54" s="71">
        <f t="shared" ca="1" si="15"/>
        <v>0</v>
      </c>
      <c r="ER54" s="71">
        <f t="shared" ca="1" si="15"/>
        <v>0</v>
      </c>
      <c r="ES54" s="71">
        <f t="shared" ref="ES54:ET54" ca="1" si="16">SUM(ES53-ES52)</f>
        <v>0</v>
      </c>
      <c r="ET54" s="71">
        <f t="shared" ca="1" si="16"/>
        <v>-50</v>
      </c>
      <c r="EU54" s="72"/>
      <c r="FP54" s="73"/>
      <c r="FQ54" s="74"/>
      <c r="FR54" s="74"/>
      <c r="FS54" s="74"/>
      <c r="FT54" s="74"/>
      <c r="FU54" s="74"/>
      <c r="FV54" s="74"/>
      <c r="FW54" s="74"/>
      <c r="FX54" s="74"/>
      <c r="FY54" s="74"/>
      <c r="FZ54" s="74"/>
      <c r="GA54" s="74"/>
      <c r="GB54" s="74"/>
      <c r="GC54" s="74"/>
      <c r="GD54" s="74"/>
      <c r="GE54" s="74"/>
      <c r="GF54" s="74"/>
      <c r="GG54" s="74"/>
      <c r="GH54" s="74"/>
      <c r="GI54" s="74"/>
      <c r="GJ54" s="74"/>
      <c r="GK54" s="74"/>
      <c r="GL54" s="74"/>
      <c r="GM54" s="74"/>
      <c r="GN54" s="74"/>
      <c r="GO54" s="74"/>
      <c r="GP54" s="74"/>
      <c r="GQ54" s="74"/>
      <c r="GR54" s="74"/>
      <c r="GS54" s="74"/>
      <c r="GT54" s="74"/>
      <c r="GU54" s="74"/>
      <c r="GV54" s="74"/>
      <c r="GW54" s="74"/>
      <c r="GX54" s="74"/>
      <c r="GY54" s="74"/>
      <c r="GZ54" s="74"/>
      <c r="HA54" s="74"/>
      <c r="HB54" s="74"/>
      <c r="HC54" s="74"/>
      <c r="HD54" s="74"/>
      <c r="HE54" s="74"/>
      <c r="HF54" s="74"/>
      <c r="HG54" s="74"/>
      <c r="HH54" s="74"/>
      <c r="HI54" s="74"/>
      <c r="HJ54" s="74"/>
      <c r="HK54" s="74"/>
      <c r="HL54" s="74"/>
      <c r="HM54" s="74"/>
      <c r="HN54" s="74"/>
      <c r="HO54" s="74"/>
      <c r="HP54" s="74"/>
      <c r="HQ54" s="74"/>
      <c r="HR54" s="74"/>
      <c r="HS54" s="74"/>
      <c r="HT54" s="74"/>
      <c r="HU54" s="74"/>
      <c r="HV54" s="74"/>
      <c r="HW54" s="74"/>
      <c r="HX54" s="74"/>
      <c r="HY54" s="74"/>
      <c r="HZ54" s="74"/>
      <c r="IA54" s="74"/>
      <c r="IB54" s="74"/>
      <c r="IC54" s="74"/>
      <c r="ID54" s="74"/>
      <c r="IE54" s="74"/>
      <c r="IF54" s="74"/>
      <c r="IG54" s="74"/>
      <c r="IH54" s="74"/>
      <c r="II54" s="74"/>
      <c r="IJ54" s="74"/>
      <c r="IK54" s="74"/>
      <c r="IL54" s="74"/>
      <c r="IM54" s="74"/>
      <c r="IN54" s="74"/>
      <c r="IO54" s="74"/>
      <c r="IP54" s="74"/>
      <c r="IQ54" s="74"/>
      <c r="IR54" s="74"/>
      <c r="IS54" s="74"/>
      <c r="IT54" s="74"/>
      <c r="IU54" s="74"/>
      <c r="IV54" s="74"/>
      <c r="IW54" s="74"/>
      <c r="IX54" s="74"/>
      <c r="IY54" s="74"/>
      <c r="IZ54" s="74"/>
      <c r="JA54" s="74"/>
      <c r="JB54" s="74"/>
      <c r="JC54" s="74"/>
      <c r="JD54" s="74"/>
      <c r="JE54" s="74"/>
      <c r="JF54" s="74"/>
      <c r="JG54" s="74"/>
      <c r="JH54" s="74"/>
      <c r="JI54" s="74"/>
      <c r="JJ54" s="74"/>
      <c r="JK54" s="74"/>
      <c r="JL54" s="74"/>
      <c r="JM54" s="74"/>
      <c r="JN54" s="74"/>
      <c r="JO54" s="74"/>
      <c r="JP54" s="74"/>
      <c r="JQ54" s="74"/>
      <c r="JR54" s="74"/>
      <c r="JS54" s="74"/>
      <c r="JT54" s="74"/>
      <c r="JU54" s="74"/>
      <c r="JV54" s="74"/>
      <c r="JW54" s="74"/>
      <c r="JX54" s="74"/>
      <c r="JY54" s="74"/>
      <c r="JZ54" s="74"/>
      <c r="KA54" s="74"/>
      <c r="KB54" s="74"/>
      <c r="KC54" s="74"/>
      <c r="KD54" s="74"/>
      <c r="KE54" s="74"/>
      <c r="KF54" s="74"/>
      <c r="KG54" s="74"/>
      <c r="KH54" s="74"/>
      <c r="KI54" s="74"/>
      <c r="KJ54" s="74"/>
      <c r="KK54" s="74"/>
      <c r="KL54" s="74"/>
      <c r="KM54" s="74"/>
      <c r="KN54" s="74"/>
      <c r="KO54" s="74"/>
      <c r="KP54" s="74"/>
      <c r="KQ54" s="74"/>
      <c r="KR54" s="74"/>
      <c r="KS54" s="74"/>
      <c r="KT54" s="74"/>
      <c r="KU54" s="74"/>
      <c r="KV54" s="74"/>
      <c r="KW54" s="74"/>
      <c r="KX54" s="74"/>
      <c r="KY54" s="74"/>
      <c r="KZ54" s="74"/>
      <c r="LA54" s="74"/>
      <c r="LB54" s="74"/>
      <c r="LC54" s="74"/>
      <c r="LD54" s="74"/>
      <c r="LE54" s="74"/>
      <c r="LF54" s="74"/>
      <c r="LG54" s="74"/>
      <c r="LH54" s="74"/>
      <c r="LI54" s="74"/>
      <c r="LJ54" s="74"/>
      <c r="LK54" s="74"/>
      <c r="LL54" s="74"/>
      <c r="LM54" s="74"/>
    </row>
    <row r="55" spans="1:325" s="14" customFormat="1" ht="15.75" thickBot="1" x14ac:dyDescent="0.3">
      <c r="A55" s="49"/>
      <c r="B55" s="30"/>
      <c r="D55" s="4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9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</row>
    <row r="56" spans="1:325" s="4" customFormat="1" ht="15.75" thickBot="1" x14ac:dyDescent="0.3">
      <c r="A56" s="50" t="s">
        <v>143</v>
      </c>
      <c r="B56" s="33"/>
      <c r="C56" s="4" t="s">
        <v>6</v>
      </c>
      <c r="D56" s="4" t="s">
        <v>3</v>
      </c>
      <c r="E56" s="4" t="s">
        <v>5</v>
      </c>
      <c r="F56" s="4" t="s">
        <v>4</v>
      </c>
      <c r="G56" s="4" t="s">
        <v>11</v>
      </c>
      <c r="H56" s="4" t="s">
        <v>110</v>
      </c>
      <c r="I56" s="4" t="s">
        <v>109</v>
      </c>
      <c r="J56" s="4" t="s">
        <v>12</v>
      </c>
      <c r="K56" s="4" t="s">
        <v>13</v>
      </c>
      <c r="L56" s="4" t="s">
        <v>2</v>
      </c>
      <c r="M56" s="4" t="s">
        <v>7</v>
      </c>
      <c r="N56" s="4" t="s">
        <v>8</v>
      </c>
      <c r="O56" s="4" t="s">
        <v>9</v>
      </c>
      <c r="P56" s="4" t="s">
        <v>10</v>
      </c>
      <c r="Q56" s="4" t="s">
        <v>14</v>
      </c>
      <c r="R56" s="4" t="s">
        <v>192</v>
      </c>
      <c r="S56" s="4" t="s">
        <v>111</v>
      </c>
      <c r="T56" s="4" t="s">
        <v>112</v>
      </c>
      <c r="U56" s="4" t="s">
        <v>18</v>
      </c>
      <c r="V56" s="4" t="s">
        <v>98</v>
      </c>
      <c r="W56" s="4" t="s">
        <v>19</v>
      </c>
      <c r="X56" s="4" t="s">
        <v>20</v>
      </c>
      <c r="Y56" s="4" t="s">
        <v>21</v>
      </c>
      <c r="Z56" s="4" t="s">
        <v>62</v>
      </c>
      <c r="AA56" s="4" t="s">
        <v>23</v>
      </c>
      <c r="AB56" s="4" t="s">
        <v>24</v>
      </c>
      <c r="AD56" s="4" t="s">
        <v>25</v>
      </c>
      <c r="AE56" s="4" t="s">
        <v>33</v>
      </c>
      <c r="AF56" s="4" t="s">
        <v>113</v>
      </c>
      <c r="AG56" s="4" t="s">
        <v>114</v>
      </c>
      <c r="AH56" s="4" t="s">
        <v>27</v>
      </c>
      <c r="AI56" s="4" t="s">
        <v>115</v>
      </c>
      <c r="AJ56" s="4" t="s">
        <v>29</v>
      </c>
      <c r="AK56" s="4">
        <v>40106</v>
      </c>
      <c r="AL56" s="4" t="s">
        <v>30</v>
      </c>
      <c r="AM56" s="4" t="s">
        <v>31</v>
      </c>
      <c r="AN56" s="4" t="s">
        <v>32</v>
      </c>
      <c r="AO56" s="4" t="s">
        <v>116</v>
      </c>
      <c r="AP56" s="4" t="s">
        <v>117</v>
      </c>
      <c r="AQ56" s="4" t="s">
        <v>155</v>
      </c>
      <c r="AR56" s="4" t="s">
        <v>118</v>
      </c>
      <c r="AS56" s="4" t="s">
        <v>38</v>
      </c>
      <c r="AT56" s="4" t="s">
        <v>40</v>
      </c>
      <c r="AU56" s="4" t="s">
        <v>41</v>
      </c>
      <c r="AV56" s="4" t="s">
        <v>42</v>
      </c>
      <c r="AW56" s="4" t="s">
        <v>119</v>
      </c>
      <c r="AX56" s="4" t="s">
        <v>44</v>
      </c>
      <c r="AY56" s="4" t="s">
        <v>45</v>
      </c>
      <c r="AZ56" s="4" t="s">
        <v>120</v>
      </c>
      <c r="BA56" s="4" t="s">
        <v>121</v>
      </c>
      <c r="BB56" s="4" t="s">
        <v>122</v>
      </c>
      <c r="BC56" s="4" t="s">
        <v>123</v>
      </c>
      <c r="BD56" s="4" t="s">
        <v>102</v>
      </c>
      <c r="BE56" s="4" t="s">
        <v>46</v>
      </c>
      <c r="BF56" s="4" t="s">
        <v>47</v>
      </c>
      <c r="BG56" s="4" t="s">
        <v>1</v>
      </c>
      <c r="BI56" s="4" t="s">
        <v>52</v>
      </c>
      <c r="BJ56" s="4" t="s">
        <v>53</v>
      </c>
      <c r="BK56" s="4" t="s">
        <v>124</v>
      </c>
      <c r="BL56" s="4" t="s">
        <v>55</v>
      </c>
      <c r="BM56" s="4" t="s">
        <v>56</v>
      </c>
      <c r="BN56" s="4" t="s">
        <v>64</v>
      </c>
      <c r="BO56" s="4" t="s">
        <v>69</v>
      </c>
      <c r="BP56" s="4" t="s">
        <v>60</v>
      </c>
      <c r="BQ56" s="4" t="s">
        <v>125</v>
      </c>
      <c r="BR56" s="4" t="s">
        <v>70</v>
      </c>
      <c r="BS56" s="4" t="s">
        <v>71</v>
      </c>
      <c r="BT56" s="4" t="s">
        <v>72</v>
      </c>
      <c r="BU56" s="4" t="s">
        <v>73</v>
      </c>
      <c r="BV56" s="4" t="s">
        <v>126</v>
      </c>
      <c r="BW56" s="4" t="s">
        <v>75</v>
      </c>
      <c r="BX56" s="4" t="s">
        <v>76</v>
      </c>
      <c r="BY56" s="4" t="s">
        <v>77</v>
      </c>
      <c r="BZ56" s="4" t="s">
        <v>78</v>
      </c>
      <c r="CA56" s="4" t="s">
        <v>79</v>
      </c>
      <c r="CB56" s="4" t="s">
        <v>14</v>
      </c>
      <c r="CC56" s="4" t="s">
        <v>127</v>
      </c>
      <c r="CD56" s="4" t="s">
        <v>84</v>
      </c>
      <c r="CE56" s="4" t="s">
        <v>37</v>
      </c>
      <c r="CF56" s="4" t="s">
        <v>87</v>
      </c>
      <c r="CG56" s="4" t="s">
        <v>88</v>
      </c>
      <c r="CH56" s="4" t="s">
        <v>89</v>
      </c>
      <c r="CJ56" s="4" t="s">
        <v>137</v>
      </c>
      <c r="CL56" s="4" t="s">
        <v>90</v>
      </c>
      <c r="CM56" s="4" t="s">
        <v>128</v>
      </c>
      <c r="CN56" s="4" t="s">
        <v>92</v>
      </c>
      <c r="CP56" s="4" t="s">
        <v>99</v>
      </c>
      <c r="CR56" s="4" t="s">
        <v>93</v>
      </c>
      <c r="CS56" s="4" t="s">
        <v>94</v>
      </c>
      <c r="CT56" s="4" t="s">
        <v>95</v>
      </c>
      <c r="CW56" s="4" t="s">
        <v>129</v>
      </c>
      <c r="CX56" s="4" t="s">
        <v>100</v>
      </c>
      <c r="CZ56" s="15" t="s">
        <v>101</v>
      </c>
      <c r="DA56" s="15" t="s">
        <v>103</v>
      </c>
      <c r="DB56" s="15"/>
      <c r="DC56" s="15" t="s">
        <v>105</v>
      </c>
      <c r="DD56" s="15"/>
      <c r="DE56" s="15">
        <v>555</v>
      </c>
      <c r="DF56" s="15" t="s">
        <v>106</v>
      </c>
      <c r="DG56" s="15" t="s">
        <v>107</v>
      </c>
      <c r="DH56" s="15" t="s">
        <v>108</v>
      </c>
      <c r="DI56" s="15"/>
      <c r="DJ56" s="15" t="s">
        <v>145</v>
      </c>
      <c r="DK56" s="15" t="s">
        <v>146</v>
      </c>
      <c r="DL56" s="15" t="s">
        <v>147</v>
      </c>
      <c r="DM56" s="15" t="s">
        <v>72</v>
      </c>
      <c r="DN56" s="15" t="s">
        <v>148</v>
      </c>
      <c r="DO56" s="15" t="s">
        <v>149</v>
      </c>
      <c r="DP56" s="15"/>
      <c r="DQ56" s="15" t="s">
        <v>150</v>
      </c>
      <c r="DR56" s="15" t="s">
        <v>151</v>
      </c>
      <c r="DS56" s="15" t="s">
        <v>152</v>
      </c>
      <c r="DT56" s="15" t="s">
        <v>153</v>
      </c>
      <c r="DU56" s="15" t="s">
        <v>154</v>
      </c>
      <c r="DV56" s="15" t="s">
        <v>158</v>
      </c>
      <c r="DX56" s="15" t="s">
        <v>157</v>
      </c>
      <c r="DY56" s="34" t="s">
        <v>160</v>
      </c>
      <c r="DZ56" s="15"/>
      <c r="EA56" s="34" t="s">
        <v>161</v>
      </c>
      <c r="EB56" s="34" t="s">
        <v>162</v>
      </c>
      <c r="EC56" s="15"/>
      <c r="ED56" s="34" t="s">
        <v>170</v>
      </c>
      <c r="EE56" s="34"/>
      <c r="EF56" s="15"/>
      <c r="EG56" s="34" t="s">
        <v>171</v>
      </c>
      <c r="EH56" s="15"/>
      <c r="EI56" s="34" t="s">
        <v>172</v>
      </c>
      <c r="EJ56" s="15"/>
      <c r="EK56" s="15"/>
      <c r="EL56" s="15" t="s">
        <v>174</v>
      </c>
      <c r="EM56" s="15" t="s">
        <v>188</v>
      </c>
      <c r="EN56" s="15"/>
      <c r="EO56" s="15" t="s">
        <v>189</v>
      </c>
      <c r="EP56" s="15" t="s">
        <v>190</v>
      </c>
      <c r="EQ56" s="15" t="s">
        <v>191</v>
      </c>
      <c r="ER56" s="15"/>
      <c r="ES56" s="15" t="s">
        <v>193</v>
      </c>
      <c r="ET56" s="14"/>
      <c r="EU56" s="8" t="s">
        <v>195</v>
      </c>
      <c r="EV56" s="8" t="s">
        <v>196</v>
      </c>
      <c r="EW56" s="8" t="s">
        <v>197</v>
      </c>
      <c r="EX56" s="8" t="s">
        <v>198</v>
      </c>
      <c r="EY56" s="8"/>
      <c r="EZ56" s="8" t="s">
        <v>199</v>
      </c>
      <c r="FA56" s="8"/>
      <c r="FB56" s="8" t="s">
        <v>200</v>
      </c>
      <c r="FC56" s="8" t="s">
        <v>201</v>
      </c>
      <c r="FD56" s="14" t="s">
        <v>203</v>
      </c>
      <c r="FE56" s="14" t="s">
        <v>204</v>
      </c>
      <c r="FF56" s="14" t="s">
        <v>205</v>
      </c>
      <c r="FG56" s="14" t="s">
        <v>206</v>
      </c>
      <c r="FH56" s="14" t="s">
        <v>207</v>
      </c>
      <c r="FI56" s="14"/>
      <c r="FJ56" s="14"/>
      <c r="FK56" s="14"/>
      <c r="FL56" s="14"/>
      <c r="FM56" s="14"/>
      <c r="FN56" s="14"/>
      <c r="FO56" s="14"/>
      <c r="FP56" s="3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</row>
    <row r="57" spans="1:325" x14ac:dyDescent="0.25">
      <c r="A57" s="44"/>
    </row>
    <row r="58" spans="1:325" x14ac:dyDescent="0.25">
      <c r="A58" s="51"/>
    </row>
    <row r="59" spans="1:325" x14ac:dyDescent="0.25">
      <c r="A59" s="51"/>
      <c r="C59" s="60"/>
      <c r="ES59" s="19"/>
    </row>
    <row r="60" spans="1:325" x14ac:dyDescent="0.25">
      <c r="A60" s="51"/>
      <c r="ER60" s="19"/>
      <c r="ES60" s="19"/>
    </row>
    <row r="61" spans="1:325" x14ac:dyDescent="0.25">
      <c r="A61" s="51"/>
      <c r="B61" s="3" t="s">
        <v>37</v>
      </c>
    </row>
    <row r="62" spans="1:325" x14ac:dyDescent="0.25">
      <c r="A62" s="51"/>
      <c r="X62" s="3">
        <v>10000</v>
      </c>
    </row>
    <row r="63" spans="1:325" x14ac:dyDescent="0.25">
      <c r="A63" s="51"/>
    </row>
    <row r="64" spans="1:325" x14ac:dyDescent="0.25">
      <c r="A64" s="51"/>
    </row>
    <row r="65" spans="1:1" x14ac:dyDescent="0.25">
      <c r="A65" s="51"/>
    </row>
    <row r="66" spans="1:1" x14ac:dyDescent="0.25">
      <c r="A66" s="51"/>
    </row>
    <row r="67" spans="1:1" x14ac:dyDescent="0.25">
      <c r="A67" s="51"/>
    </row>
    <row r="68" spans="1:1" x14ac:dyDescent="0.25">
      <c r="A68" s="51"/>
    </row>
    <row r="69" spans="1:1" x14ac:dyDescent="0.25">
      <c r="A69" s="51"/>
    </row>
    <row r="70" spans="1:1" x14ac:dyDescent="0.25">
      <c r="A70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P155"/>
  <sheetViews>
    <sheetView topLeftCell="I1" zoomScale="85" zoomScaleNormal="85" workbookViewId="0">
      <selection activeCell="N6" sqref="N6"/>
    </sheetView>
  </sheetViews>
  <sheetFormatPr defaultRowHeight="15" x14ac:dyDescent="0.25"/>
  <cols>
    <col min="1" max="1" width="14.7109375" style="38" customWidth="1"/>
    <col min="2" max="2" width="14.7109375" style="56" customWidth="1"/>
    <col min="3" max="146" width="13.5703125" style="35" customWidth="1"/>
  </cols>
  <sheetData>
    <row r="1" spans="1:146" ht="15.75" thickBot="1" x14ac:dyDescent="0.3">
      <c r="A1" s="53"/>
      <c r="B1" s="54"/>
    </row>
    <row r="2" spans="1:146" ht="15.75" thickBot="1" x14ac:dyDescent="0.3">
      <c r="A2" s="55"/>
      <c r="B2" s="37"/>
      <c r="C2" s="36" cm="1">
        <f t="array" aca="1" ref="C2" ca="1">INDIRECT(ADDRESS(ROW(),COLUMN(),,,"Plan1"))</f>
        <v>0</v>
      </c>
      <c r="D2" s="36" cm="1">
        <f t="array" aca="1" ref="D2" ca="1">INDIRECT(ADDRESS(ROW(),COLUMN(),,,"Plan1"))</f>
        <v>0</v>
      </c>
      <c r="E2" s="36" cm="1">
        <f t="array" aca="1" ref="E2" ca="1">INDIRECT(ADDRESS(ROW(),COLUMN(),,,"Plan1"))</f>
        <v>0</v>
      </c>
      <c r="F2" s="36" cm="1">
        <f t="array" aca="1" ref="F2" ca="1">INDIRECT(ADDRESS(ROW(),COLUMN(),,,"Plan1"))</f>
        <v>0</v>
      </c>
      <c r="G2" s="36" cm="1">
        <f t="array" aca="1" ref="G2" ca="1">INDIRECT(ADDRESS(ROW(),COLUMN(),,,"Plan1"))</f>
        <v>0</v>
      </c>
      <c r="H2" s="36" cm="1">
        <f t="array" aca="1" ref="H2" ca="1">INDIRECT(ADDRESS(ROW(),COLUMN(),,,"Plan1"))</f>
        <v>0</v>
      </c>
      <c r="I2" s="36" cm="1">
        <f t="array" aca="1" ref="I2" ca="1">INDIRECT(ADDRESS(ROW(),COLUMN(),,,"Plan1"))</f>
        <v>0</v>
      </c>
      <c r="J2" s="36" cm="1">
        <f t="array" aca="1" ref="J2" ca="1">INDIRECT(ADDRESS(ROW(),COLUMN(),,,"Plan1"))</f>
        <v>0</v>
      </c>
      <c r="K2" s="36" cm="1">
        <f t="array" aca="1" ref="K2" ca="1">INDIRECT(ADDRESS(ROW(),COLUMN(),,,"Plan1"))</f>
        <v>0</v>
      </c>
      <c r="L2" s="36" cm="1">
        <f t="array" aca="1" ref="L2" ca="1">INDIRECT(ADDRESS(ROW(),COLUMN(),,,"Plan1"))</f>
        <v>0</v>
      </c>
      <c r="M2" s="36" cm="1">
        <f t="array" aca="1" ref="M2" ca="1">INDIRECT(ADDRESS(ROW(),COLUMN(),,,"Plan1"))</f>
        <v>0</v>
      </c>
      <c r="N2" s="36" cm="1">
        <f t="array" aca="1" ref="N2" ca="1">INDIRECT(ADDRESS(ROW(),COLUMN(),,,"Plan1"))</f>
        <v>0</v>
      </c>
      <c r="O2" s="36" cm="1">
        <f t="array" aca="1" ref="O2" ca="1">INDIRECT(ADDRESS(ROW(),COLUMN(),,,"Plan1"))</f>
        <v>0</v>
      </c>
      <c r="P2" s="36" cm="1">
        <f t="array" aca="1" ref="P2" ca="1">INDIRECT(ADDRESS(ROW(),COLUMN(),,,"Plan1"))</f>
        <v>0</v>
      </c>
      <c r="Q2" s="36" cm="1">
        <f t="array" aca="1" ref="Q2" ca="1">INDIRECT(ADDRESS(ROW(),COLUMN(),,,"Plan1"))</f>
        <v>0</v>
      </c>
      <c r="R2" s="36" cm="1">
        <f t="array" aca="1" ref="R2" ca="1">INDIRECT(ADDRESS(ROW(),COLUMN(),,,"Plan1"))</f>
        <v>0</v>
      </c>
      <c r="S2" s="36" cm="1">
        <f t="array" aca="1" ref="S2" ca="1">INDIRECT(ADDRESS(ROW(),COLUMN(),,,"Plan1"))</f>
        <v>0</v>
      </c>
      <c r="T2" s="36" cm="1">
        <f t="array" aca="1" ref="T2" ca="1">INDIRECT(ADDRESS(ROW(),COLUMN(),,,"Plan1"))</f>
        <v>0</v>
      </c>
      <c r="U2" s="36" cm="1">
        <f t="array" aca="1" ref="U2" ca="1">INDIRECT(ADDRESS(ROW(),COLUMN(),,,"Plan1"))</f>
        <v>0</v>
      </c>
      <c r="V2" s="36" cm="1">
        <f t="array" aca="1" ref="V2" ca="1">INDIRECT(ADDRESS(ROW(),COLUMN(),,,"Plan1"))</f>
        <v>0</v>
      </c>
      <c r="W2" s="36" cm="1">
        <f t="array" aca="1" ref="W2" ca="1">INDIRECT(ADDRESS(ROW(),COLUMN(),,,"Plan1"))</f>
        <v>0</v>
      </c>
      <c r="X2" s="36" cm="1">
        <f t="array" aca="1" ref="X2" ca="1">INDIRECT(ADDRESS(ROW(),COLUMN(),,,"Plan1"))</f>
        <v>0</v>
      </c>
      <c r="Y2" s="36" cm="1">
        <f t="array" aca="1" ref="Y2" ca="1">INDIRECT(ADDRESS(ROW(),COLUMN(),,,"Plan1"))</f>
        <v>0</v>
      </c>
      <c r="Z2" s="36" cm="1">
        <f t="array" aca="1" ref="Z2" ca="1">INDIRECT(ADDRESS(ROW(),COLUMN(),,,"Plan1"))</f>
        <v>0</v>
      </c>
      <c r="AA2" s="36" cm="1">
        <f t="array" aca="1" ref="AA2" ca="1">INDIRECT(ADDRESS(ROW(),COLUMN(),,,"Plan1"))</f>
        <v>0</v>
      </c>
      <c r="AB2" s="36" cm="1">
        <f t="array" aca="1" ref="AB2" ca="1">INDIRECT(ADDRESS(ROW(),COLUMN(),,,"Plan1"))</f>
        <v>0</v>
      </c>
      <c r="AC2" s="36" cm="1">
        <f t="array" aca="1" ref="AC2" ca="1">INDIRECT(ADDRESS(ROW(),COLUMN(),,,"Plan1"))</f>
        <v>0</v>
      </c>
      <c r="AD2" s="36" cm="1">
        <f t="array" aca="1" ref="AD2" ca="1">INDIRECT(ADDRESS(ROW(),COLUMN(),,,"Plan1"))</f>
        <v>0</v>
      </c>
      <c r="AE2" s="36" cm="1">
        <f t="array" aca="1" ref="AE2" ca="1">INDIRECT(ADDRESS(ROW(),COLUMN(),,,"Plan1"))</f>
        <v>0</v>
      </c>
      <c r="AF2" s="36" cm="1">
        <f t="array" aca="1" ref="AF2" ca="1">INDIRECT(ADDRESS(ROW(),COLUMN(),,,"Plan1"))</f>
        <v>0</v>
      </c>
      <c r="AG2" s="36" cm="1">
        <f t="array" aca="1" ref="AG2" ca="1">INDIRECT(ADDRESS(ROW(),COLUMN(),,,"Plan1"))</f>
        <v>0</v>
      </c>
      <c r="AH2" s="36" cm="1">
        <f t="array" aca="1" ref="AH2" ca="1">INDIRECT(ADDRESS(ROW(),COLUMN(),,,"Plan1"))</f>
        <v>0</v>
      </c>
      <c r="AI2" s="36" cm="1">
        <f t="array" aca="1" ref="AI2" ca="1">INDIRECT(ADDRESS(ROW(),COLUMN(),,,"Plan1"))</f>
        <v>0</v>
      </c>
      <c r="AJ2" s="36" cm="1">
        <f t="array" aca="1" ref="AJ2" ca="1">INDIRECT(ADDRESS(ROW(),COLUMN(),,,"Plan1"))</f>
        <v>0</v>
      </c>
      <c r="AK2" s="36" cm="1">
        <f t="array" aca="1" ref="AK2" ca="1">INDIRECT(ADDRESS(ROW(),COLUMN(),,,"Plan1"))</f>
        <v>0</v>
      </c>
      <c r="AL2" s="36" cm="1">
        <f t="array" aca="1" ref="AL2" ca="1">INDIRECT(ADDRESS(ROW(),COLUMN(),,,"Plan1"))</f>
        <v>0</v>
      </c>
      <c r="AM2" s="36" cm="1">
        <f t="array" aca="1" ref="AM2" ca="1">INDIRECT(ADDRESS(ROW(),COLUMN(),,,"Plan1"))</f>
        <v>0</v>
      </c>
      <c r="AN2" s="36" cm="1">
        <f t="array" aca="1" ref="AN2" ca="1">INDIRECT(ADDRESS(ROW(),COLUMN(),,,"Plan1"))</f>
        <v>0</v>
      </c>
      <c r="AO2" s="36" cm="1">
        <f t="array" aca="1" ref="AO2" ca="1">INDIRECT(ADDRESS(ROW(),COLUMN(),,,"Plan1"))</f>
        <v>0</v>
      </c>
      <c r="AP2" s="36" cm="1">
        <f t="array" aca="1" ref="AP2" ca="1">INDIRECT(ADDRESS(ROW(),COLUMN(),,,"Plan1"))</f>
        <v>0</v>
      </c>
      <c r="AQ2" s="36" cm="1">
        <f t="array" aca="1" ref="AQ2" ca="1">INDIRECT(ADDRESS(ROW(),COLUMN(),,,"Plan1"))</f>
        <v>0</v>
      </c>
      <c r="AR2" s="36" cm="1">
        <f t="array" aca="1" ref="AR2" ca="1">INDIRECT(ADDRESS(ROW(),COLUMN(),,,"Plan1"))</f>
        <v>0</v>
      </c>
      <c r="AS2" s="36" cm="1">
        <f t="array" aca="1" ref="AS2" ca="1">INDIRECT(ADDRESS(ROW(),COLUMN(),,,"Plan1"))</f>
        <v>0</v>
      </c>
      <c r="AT2" s="36" cm="1">
        <f t="array" aca="1" ref="AT2" ca="1">INDIRECT(ADDRESS(ROW(),COLUMN(),,,"Plan1"))</f>
        <v>0</v>
      </c>
      <c r="AU2" s="36" cm="1">
        <f t="array" aca="1" ref="AU2" ca="1">INDIRECT(ADDRESS(ROW(),COLUMN(),,,"Plan1"))</f>
        <v>0</v>
      </c>
      <c r="AV2" s="36" cm="1">
        <f t="array" aca="1" ref="AV2" ca="1">INDIRECT(ADDRESS(ROW(),COLUMN(),,,"Plan1"))</f>
        <v>0</v>
      </c>
      <c r="AW2" s="36" cm="1">
        <f t="array" aca="1" ref="AW2" ca="1">INDIRECT(ADDRESS(ROW(),COLUMN(),,,"Plan1"))</f>
        <v>0</v>
      </c>
      <c r="AX2" s="36" cm="1">
        <f t="array" aca="1" ref="AX2" ca="1">INDIRECT(ADDRESS(ROW(),COLUMN(),,,"Plan1"))</f>
        <v>0</v>
      </c>
      <c r="AY2" s="36" t="str" cm="1">
        <f t="array" aca="1" ref="AY2" ca="1">INDIRECT(ADDRESS(ROW(),COLUMN(),,,"Plan1"))</f>
        <v xml:space="preserve"> </v>
      </c>
      <c r="AZ2" s="36" cm="1">
        <f t="array" aca="1" ref="AZ2" ca="1">INDIRECT(ADDRESS(ROW(),COLUMN(),,,"Plan1"))</f>
        <v>0</v>
      </c>
      <c r="BA2" s="36" cm="1">
        <f t="array" aca="1" ref="BA2" ca="1">INDIRECT(ADDRESS(ROW(),COLUMN(),,,"Plan1"))</f>
        <v>0</v>
      </c>
      <c r="BB2" s="36" cm="1">
        <f t="array" aca="1" ref="BB2" ca="1">INDIRECT(ADDRESS(ROW(),COLUMN(),,,"Plan1"))</f>
        <v>0</v>
      </c>
      <c r="BC2" s="36" cm="1">
        <f t="array" aca="1" ref="BC2" ca="1">INDIRECT(ADDRESS(ROW(),COLUMN(),,,"Plan1"))</f>
        <v>0</v>
      </c>
      <c r="BD2" s="36" cm="1">
        <f t="array" aca="1" ref="BD2" ca="1">INDIRECT(ADDRESS(ROW(),COLUMN(),,,"Plan1"))</f>
        <v>0</v>
      </c>
      <c r="BE2" s="36" cm="1">
        <f t="array" aca="1" ref="BE2" ca="1">INDIRECT(ADDRESS(ROW(),COLUMN(),,,"Plan1"))</f>
        <v>0</v>
      </c>
      <c r="BF2" s="36" cm="1">
        <f t="array" aca="1" ref="BF2" ca="1">INDIRECT(ADDRESS(ROW(),COLUMN(),,,"Plan1"))</f>
        <v>0</v>
      </c>
      <c r="BG2" s="36" cm="1">
        <f t="array" aca="1" ref="BG2" ca="1">INDIRECT(ADDRESS(ROW(),COLUMN(),,,"Plan1"))</f>
        <v>0</v>
      </c>
      <c r="BH2" s="36" cm="1">
        <f t="array" aca="1" ref="BH2" ca="1">INDIRECT(ADDRESS(ROW(),COLUMN(),,,"Plan1"))</f>
        <v>0</v>
      </c>
      <c r="BI2" s="36" cm="1">
        <f t="array" aca="1" ref="BI2" ca="1">INDIRECT(ADDRESS(ROW(),COLUMN(),,,"Plan1"))</f>
        <v>0</v>
      </c>
      <c r="BJ2" s="36" cm="1">
        <f t="array" aca="1" ref="BJ2" ca="1">INDIRECT(ADDRESS(ROW(),COLUMN(),,,"Plan1"))</f>
        <v>0</v>
      </c>
      <c r="BK2" s="36" cm="1">
        <f t="array" aca="1" ref="BK2" ca="1">INDIRECT(ADDRESS(ROW(),COLUMN(),,,"Plan1"))</f>
        <v>0</v>
      </c>
      <c r="BL2" s="36" cm="1">
        <f t="array" aca="1" ref="BL2" ca="1">INDIRECT(ADDRESS(ROW(),COLUMN(),,,"Plan1"))</f>
        <v>0</v>
      </c>
      <c r="BM2" s="36" cm="1">
        <f t="array" aca="1" ref="BM2" ca="1">INDIRECT(ADDRESS(ROW(),COLUMN(),,,"Plan1"))</f>
        <v>0</v>
      </c>
      <c r="BN2" s="36" cm="1">
        <f t="array" aca="1" ref="BN2" ca="1">INDIRECT(ADDRESS(ROW(),COLUMN(),,,"Plan1"))</f>
        <v>0</v>
      </c>
      <c r="BO2" s="36" cm="1">
        <f t="array" aca="1" ref="BO2" ca="1">INDIRECT(ADDRESS(ROW(),COLUMN(),,,"Plan1"))</f>
        <v>0</v>
      </c>
      <c r="BP2" s="36" cm="1">
        <f t="array" aca="1" ref="BP2" ca="1">INDIRECT(ADDRESS(ROW(),COLUMN(),,,"Plan1"))</f>
        <v>0</v>
      </c>
      <c r="BQ2" s="36" cm="1">
        <f t="array" aca="1" ref="BQ2" ca="1">INDIRECT(ADDRESS(ROW(),COLUMN(),,,"Plan1"))</f>
        <v>0</v>
      </c>
      <c r="BR2" s="36" cm="1">
        <f t="array" aca="1" ref="BR2" ca="1">INDIRECT(ADDRESS(ROW(),COLUMN(),,,"Plan1"))</f>
        <v>0</v>
      </c>
      <c r="BS2" s="36" cm="1">
        <f t="array" aca="1" ref="BS2" ca="1">INDIRECT(ADDRESS(ROW(),COLUMN(),,,"Plan1"))</f>
        <v>0</v>
      </c>
      <c r="BT2" s="36" cm="1">
        <f t="array" aca="1" ref="BT2" ca="1">INDIRECT(ADDRESS(ROW(),COLUMN(),,,"Plan1"))</f>
        <v>0</v>
      </c>
      <c r="BU2" s="36" cm="1">
        <f t="array" aca="1" ref="BU2" ca="1">INDIRECT(ADDRESS(ROW(),COLUMN(),,,"Plan1"))</f>
        <v>0</v>
      </c>
      <c r="BV2" s="36" cm="1">
        <f t="array" aca="1" ref="BV2" ca="1">INDIRECT(ADDRESS(ROW(),COLUMN(),,,"Plan1"))</f>
        <v>0</v>
      </c>
      <c r="BW2" s="36" cm="1">
        <f t="array" aca="1" ref="BW2" ca="1">INDIRECT(ADDRESS(ROW(),COLUMN(),,,"Plan1"))</f>
        <v>0</v>
      </c>
      <c r="BX2" s="36" cm="1">
        <f t="array" aca="1" ref="BX2" ca="1">INDIRECT(ADDRESS(ROW(),COLUMN(),,,"Plan1"))</f>
        <v>0</v>
      </c>
      <c r="BY2" s="36" cm="1">
        <f t="array" aca="1" ref="BY2" ca="1">INDIRECT(ADDRESS(ROW(),COLUMN(),,,"Plan1"))</f>
        <v>0</v>
      </c>
      <c r="BZ2" s="36" cm="1">
        <f t="array" aca="1" ref="BZ2" ca="1">INDIRECT(ADDRESS(ROW(),COLUMN(),,,"Plan1"))</f>
        <v>0</v>
      </c>
      <c r="CA2" s="36" cm="1">
        <f t="array" aca="1" ref="CA2" ca="1">INDIRECT(ADDRESS(ROW(),COLUMN(),,,"Plan1"))</f>
        <v>0</v>
      </c>
      <c r="CB2" s="36" cm="1">
        <f t="array" aca="1" ref="CB2" ca="1">INDIRECT(ADDRESS(ROW(),COLUMN(),,,"Plan1"))</f>
        <v>0</v>
      </c>
      <c r="CC2" s="36" cm="1">
        <f t="array" aca="1" ref="CC2" ca="1">INDIRECT(ADDRESS(ROW(),COLUMN(),,,"Plan1"))</f>
        <v>0</v>
      </c>
      <c r="CD2" s="36" cm="1">
        <f t="array" aca="1" ref="CD2" ca="1">INDIRECT(ADDRESS(ROW(),COLUMN(),,,"Plan1"))</f>
        <v>0</v>
      </c>
      <c r="CE2" s="36" cm="1">
        <f t="array" aca="1" ref="CE2" ca="1">INDIRECT(ADDRESS(ROW(),COLUMN(),,,"Plan1"))</f>
        <v>0</v>
      </c>
      <c r="CF2" s="36" cm="1">
        <f t="array" aca="1" ref="CF2" ca="1">INDIRECT(ADDRESS(ROW(),COLUMN(),,,"Plan1"))</f>
        <v>0</v>
      </c>
      <c r="CG2" s="36" cm="1">
        <f t="array" aca="1" ref="CG2" ca="1">INDIRECT(ADDRESS(ROW(),COLUMN(),,,"Plan1"))</f>
        <v>0</v>
      </c>
      <c r="CH2" s="36" cm="1">
        <f t="array" aca="1" ref="CH2" ca="1">INDIRECT(ADDRESS(ROW(),COLUMN(),,,"Plan1"))</f>
        <v>0</v>
      </c>
      <c r="CI2" s="36" cm="1">
        <f t="array" aca="1" ref="CI2" ca="1">INDIRECT(ADDRESS(ROW(),COLUMN(),,,"Plan1"))</f>
        <v>0</v>
      </c>
      <c r="CJ2" s="36" cm="1">
        <f t="array" aca="1" ref="CJ2" ca="1">INDIRECT(ADDRESS(ROW(),COLUMN(),,,"Plan1"))</f>
        <v>0</v>
      </c>
      <c r="CK2" s="36" cm="1">
        <f t="array" aca="1" ref="CK2" ca="1">INDIRECT(ADDRESS(ROW(),COLUMN(),,,"Plan1"))</f>
        <v>0</v>
      </c>
      <c r="CL2" s="36" cm="1">
        <f t="array" aca="1" ref="CL2" ca="1">INDIRECT(ADDRESS(ROW(),COLUMN(),,,"Plan1"))</f>
        <v>0</v>
      </c>
      <c r="CM2" s="36" cm="1">
        <f t="array" aca="1" ref="CM2" ca="1">INDIRECT(ADDRESS(ROW(),COLUMN(),,,"Plan1"))</f>
        <v>0</v>
      </c>
      <c r="CN2" s="36" cm="1">
        <f t="array" aca="1" ref="CN2" ca="1">INDIRECT(ADDRESS(ROW(),COLUMN(),,,"Plan1"))</f>
        <v>0</v>
      </c>
      <c r="CO2" s="36" cm="1">
        <f t="array" aca="1" ref="CO2" ca="1">INDIRECT(ADDRESS(ROW(),COLUMN(),,,"Plan1"))</f>
        <v>0</v>
      </c>
      <c r="CP2" s="36" cm="1">
        <f t="array" aca="1" ref="CP2" ca="1">INDIRECT(ADDRESS(ROW(),COLUMN(),,,"Plan1"))</f>
        <v>0</v>
      </c>
      <c r="CQ2" s="36" cm="1">
        <f t="array" aca="1" ref="CQ2" ca="1">INDIRECT(ADDRESS(ROW(),COLUMN(),,,"Plan1"))</f>
        <v>0</v>
      </c>
      <c r="CR2" s="36" cm="1">
        <f t="array" aca="1" ref="CR2" ca="1">INDIRECT(ADDRESS(ROW(),COLUMN(),,,"Plan1"))</f>
        <v>0</v>
      </c>
      <c r="CS2" s="36" cm="1">
        <f t="array" aca="1" ref="CS2" ca="1">INDIRECT(ADDRESS(ROW(),COLUMN(),,,"Plan1"))</f>
        <v>0</v>
      </c>
      <c r="CT2" s="36" cm="1">
        <f t="array" aca="1" ref="CT2" ca="1">INDIRECT(ADDRESS(ROW(),COLUMN(),,,"Plan1"))</f>
        <v>0</v>
      </c>
      <c r="CU2" s="36" cm="1">
        <f t="array" aca="1" ref="CU2" ca="1">INDIRECT(ADDRESS(ROW(),COLUMN(),,,"Plan1"))</f>
        <v>0</v>
      </c>
      <c r="CV2" s="36" cm="1">
        <f t="array" aca="1" ref="CV2" ca="1">INDIRECT(ADDRESS(ROW(),COLUMN(),,,"Plan1"))</f>
        <v>0</v>
      </c>
      <c r="CW2" s="36" cm="1">
        <f t="array" aca="1" ref="CW2" ca="1">INDIRECT(ADDRESS(ROW(),COLUMN(),,,"Plan1"))</f>
        <v>0</v>
      </c>
      <c r="CX2" s="36" cm="1">
        <f t="array" aca="1" ref="CX2" ca="1">INDIRECT(ADDRESS(ROW(),COLUMN(),,,"Plan1"))</f>
        <v>0</v>
      </c>
      <c r="CY2" s="36" cm="1">
        <f t="array" aca="1" ref="CY2" ca="1">INDIRECT(ADDRESS(ROW(),COLUMN(),,,"Plan1"))</f>
        <v>0</v>
      </c>
      <c r="CZ2" s="36" cm="1">
        <f t="array" aca="1" ref="CZ2" ca="1">INDIRECT(ADDRESS(ROW(),COLUMN(),,,"Plan1"))</f>
        <v>0</v>
      </c>
      <c r="DA2" s="36" cm="1">
        <f t="array" aca="1" ref="DA2" ca="1">INDIRECT(ADDRESS(ROW(),COLUMN(),,,"Plan1"))</f>
        <v>0</v>
      </c>
      <c r="DB2" s="36" cm="1">
        <f t="array" aca="1" ref="DB2" ca="1">INDIRECT(ADDRESS(ROW(),COLUMN(),,,"Plan1"))</f>
        <v>0</v>
      </c>
      <c r="DC2" s="36" cm="1">
        <f t="array" aca="1" ref="DC2" ca="1">INDIRECT(ADDRESS(ROW(),COLUMN(),,,"Plan1"))</f>
        <v>0</v>
      </c>
      <c r="DD2" s="36" cm="1">
        <f t="array" aca="1" ref="DD2" ca="1">INDIRECT(ADDRESS(ROW(),COLUMN(),,,"Plan1"))</f>
        <v>0</v>
      </c>
      <c r="DE2" s="36" cm="1">
        <f t="array" aca="1" ref="DE2" ca="1">INDIRECT(ADDRESS(ROW(),COLUMN(),,,"Plan1"))</f>
        <v>0</v>
      </c>
      <c r="DF2" s="36" cm="1">
        <f t="array" aca="1" ref="DF2" ca="1">INDIRECT(ADDRESS(ROW(),COLUMN(),,,"Plan1"))</f>
        <v>0</v>
      </c>
      <c r="DG2" s="36" cm="1">
        <f t="array" aca="1" ref="DG2" ca="1">INDIRECT(ADDRESS(ROW(),COLUMN(),,,"Plan1"))</f>
        <v>0</v>
      </c>
      <c r="DH2" s="36" cm="1">
        <f t="array" aca="1" ref="DH2" ca="1">INDIRECT(ADDRESS(ROW(),COLUMN(),,,"Plan1"))</f>
        <v>0</v>
      </c>
      <c r="DI2" s="36" cm="1">
        <f t="array" aca="1" ref="DI2" ca="1">INDIRECT(ADDRESS(ROW(),COLUMN(),,,"Plan1"))</f>
        <v>0</v>
      </c>
      <c r="DJ2" s="36" cm="1">
        <f t="array" aca="1" ref="DJ2" ca="1">INDIRECT(ADDRESS(ROW(),COLUMN(),,,"Plan1"))</f>
        <v>0</v>
      </c>
      <c r="DK2" s="36" cm="1">
        <f t="array" aca="1" ref="DK2" ca="1">INDIRECT(ADDRESS(ROW(),COLUMN(),,,"Plan1"))</f>
        <v>0</v>
      </c>
      <c r="DL2" s="36" cm="1">
        <f t="array" aca="1" ref="DL2" ca="1">INDIRECT(ADDRESS(ROW(),COLUMN(),,,"Plan1"))</f>
        <v>0</v>
      </c>
      <c r="DM2" s="36" cm="1">
        <f t="array" aca="1" ref="DM2" ca="1">INDIRECT(ADDRESS(ROW(),COLUMN(),,,"Plan1"))</f>
        <v>0</v>
      </c>
      <c r="DN2" s="36" cm="1">
        <f t="array" aca="1" ref="DN2" ca="1">INDIRECT(ADDRESS(ROW(),COLUMN(),,,"Plan1"))</f>
        <v>0</v>
      </c>
      <c r="DO2" s="36" cm="1">
        <f t="array" aca="1" ref="DO2" ca="1">INDIRECT(ADDRESS(ROW(),COLUMN(),,,"Plan1"))</f>
        <v>0</v>
      </c>
      <c r="DP2" s="36" cm="1">
        <f t="array" aca="1" ref="DP2" ca="1">INDIRECT(ADDRESS(ROW(),COLUMN(),,,"Plan1"))</f>
        <v>0</v>
      </c>
      <c r="DQ2" s="36" cm="1">
        <f t="array" aca="1" ref="DQ2" ca="1">INDIRECT(ADDRESS(ROW(),COLUMN(),,,"Plan1"))</f>
        <v>0</v>
      </c>
      <c r="DR2" s="36" cm="1">
        <f t="array" aca="1" ref="DR2" ca="1">INDIRECT(ADDRESS(ROW(),COLUMN(),,,"Plan1"))</f>
        <v>0</v>
      </c>
      <c r="DS2" s="36" cm="1">
        <f t="array" aca="1" ref="DS2" ca="1">INDIRECT(ADDRESS(ROW(),COLUMN(),,,"Plan1"))</f>
        <v>0</v>
      </c>
      <c r="DT2" s="36" cm="1">
        <f t="array" aca="1" ref="DT2" ca="1">INDIRECT(ADDRESS(ROW(),COLUMN(),,,"Plan1"))</f>
        <v>0</v>
      </c>
      <c r="DU2" s="36" cm="1">
        <f t="array" aca="1" ref="DU2" ca="1">INDIRECT(ADDRESS(ROW(),COLUMN(),,,"Plan1"))</f>
        <v>0</v>
      </c>
      <c r="DV2" s="36" cm="1">
        <f t="array" aca="1" ref="DV2" ca="1">INDIRECT(ADDRESS(ROW(),COLUMN(),,,"Plan1"))</f>
        <v>0</v>
      </c>
      <c r="DW2" s="36" cm="1">
        <f t="array" aca="1" ref="DW2" ca="1">INDIRECT(ADDRESS(ROW(),COLUMN(),,,"Plan1"))</f>
        <v>0</v>
      </c>
      <c r="DX2" s="36" cm="1">
        <f t="array" aca="1" ref="DX2" ca="1">INDIRECT(ADDRESS(ROW(),COLUMN(),,,"Plan1"))</f>
        <v>0</v>
      </c>
      <c r="DY2" s="36" cm="1">
        <f t="array" aca="1" ref="DY2" ca="1">INDIRECT(ADDRESS(ROW(),COLUMN(),,,"Plan1"))</f>
        <v>0</v>
      </c>
      <c r="DZ2" s="36" cm="1">
        <f t="array" aca="1" ref="DZ2" ca="1">INDIRECT(ADDRESS(ROW(),COLUMN(),,,"Plan1"))</f>
        <v>0</v>
      </c>
      <c r="EA2" s="36" cm="1">
        <f t="array" aca="1" ref="EA2" ca="1">INDIRECT(ADDRESS(ROW(),COLUMN(),,,"Plan1"))</f>
        <v>0</v>
      </c>
      <c r="EB2" s="36" cm="1">
        <f t="array" aca="1" ref="EB2" ca="1">INDIRECT(ADDRESS(ROW(),COLUMN(),,,"Plan1"))</f>
        <v>0</v>
      </c>
      <c r="EC2" s="36" cm="1">
        <f t="array" aca="1" ref="EC2" ca="1">INDIRECT(ADDRESS(ROW(),COLUMN(),,,"Plan1"))</f>
        <v>0</v>
      </c>
      <c r="ED2" s="36" cm="1">
        <f t="array" aca="1" ref="ED2" ca="1">INDIRECT(ADDRESS(ROW(),COLUMN(),,,"Plan1"))</f>
        <v>0</v>
      </c>
      <c r="EE2" s="36" cm="1">
        <f t="array" aca="1" ref="EE2" ca="1">INDIRECT(ADDRESS(ROW(),COLUMN(),,,"Plan1"))</f>
        <v>0</v>
      </c>
      <c r="EF2" s="36" cm="1">
        <f t="array" aca="1" ref="EF2" ca="1">INDIRECT(ADDRESS(ROW(),COLUMN(),,,"Plan1"))</f>
        <v>0</v>
      </c>
      <c r="EG2" s="36" cm="1">
        <f t="array" aca="1" ref="EG2" ca="1">INDIRECT(ADDRESS(ROW(),COLUMN(),,,"Plan1"))</f>
        <v>0</v>
      </c>
      <c r="EH2" s="36" cm="1">
        <f t="array" aca="1" ref="EH2" ca="1">INDIRECT(ADDRESS(ROW(),COLUMN(),,,"Plan1"))</f>
        <v>0</v>
      </c>
      <c r="EI2" s="36" cm="1">
        <f t="array" aca="1" ref="EI2" ca="1">INDIRECT(ADDRESS(ROW(),COLUMN(),,,"Plan1"))</f>
        <v>0</v>
      </c>
      <c r="EJ2" s="36" cm="1">
        <f t="array" aca="1" ref="EJ2" ca="1">INDIRECT(ADDRESS(ROW(),COLUMN(),,,"Plan1"))</f>
        <v>0</v>
      </c>
      <c r="EK2" s="36" cm="1">
        <f t="array" aca="1" ref="EK2" ca="1">INDIRECT(ADDRESS(ROW(),COLUMN(),,,"Plan1"))</f>
        <v>0</v>
      </c>
      <c r="EL2" s="36" cm="1">
        <f t="array" aca="1" ref="EL2" ca="1">INDIRECT(ADDRESS(ROW(),COLUMN(),,,"Plan1"))</f>
        <v>0</v>
      </c>
      <c r="EM2" s="36" cm="1">
        <f t="array" aca="1" ref="EM2" ca="1">INDIRECT(ADDRESS(ROW(),COLUMN(),,,"Plan1"))</f>
        <v>0</v>
      </c>
      <c r="EN2" s="36" cm="1">
        <f t="array" aca="1" ref="EN2" ca="1">INDIRECT(ADDRESS(ROW(),COLUMN(),,,"Plan1"))</f>
        <v>0</v>
      </c>
      <c r="EO2" s="36" cm="1">
        <f t="array" aca="1" ref="EO2" ca="1">INDIRECT(ADDRESS(ROW(),COLUMN(),,,"Plan1"))</f>
        <v>0</v>
      </c>
      <c r="EP2" s="37" cm="1">
        <f t="array" aca="1" ref="EP2" ca="1">INDIRECT(ADDRESS(ROW(),COLUMN(),,,"Plan1"))</f>
        <v>0</v>
      </c>
    </row>
    <row r="3" spans="1:146" s="59" customFormat="1" x14ac:dyDescent="0.25">
      <c r="A3" s="57"/>
      <c r="B3" s="58" t="s">
        <v>210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</row>
    <row r="4" spans="1:146" s="63" customFormat="1" ht="15.75" thickBot="1" x14ac:dyDescent="0.3">
      <c r="A4" s="53" t="s">
        <v>212</v>
      </c>
      <c r="B4" s="61" t="s">
        <v>211</v>
      </c>
      <c r="C4" s="62">
        <v>5000</v>
      </c>
      <c r="D4" s="62"/>
      <c r="E4" s="62">
        <v>5000</v>
      </c>
      <c r="F4" s="62"/>
      <c r="G4" s="62"/>
      <c r="H4" s="62"/>
      <c r="I4" s="62"/>
      <c r="J4" s="62">
        <v>5000</v>
      </c>
      <c r="K4" s="62"/>
      <c r="L4" s="62">
        <v>5000</v>
      </c>
      <c r="M4" s="62"/>
      <c r="N4" s="62">
        <v>5000</v>
      </c>
      <c r="O4" s="62"/>
      <c r="P4" s="62">
        <v>5000</v>
      </c>
      <c r="Q4" s="62"/>
      <c r="R4" s="62"/>
      <c r="S4" s="62"/>
      <c r="T4" s="62">
        <v>5000</v>
      </c>
      <c r="U4" s="62"/>
      <c r="V4" s="62"/>
      <c r="W4" s="62">
        <v>3000</v>
      </c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>
        <v>5000</v>
      </c>
      <c r="AR4" s="62"/>
      <c r="AS4" s="62"/>
      <c r="AT4" s="62"/>
      <c r="AU4" s="62"/>
      <c r="AV4" s="62"/>
      <c r="AW4" s="62"/>
      <c r="AX4" s="62"/>
      <c r="AY4" s="62">
        <v>5000</v>
      </c>
      <c r="AZ4" s="62"/>
      <c r="BA4" s="62">
        <v>5000</v>
      </c>
      <c r="BB4" s="62">
        <v>5000</v>
      </c>
      <c r="BC4" s="62">
        <v>5000</v>
      </c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>
        <v>5000</v>
      </c>
      <c r="BR4" s="62"/>
      <c r="BS4" s="62"/>
      <c r="BT4" s="62"/>
      <c r="BU4" s="62"/>
      <c r="BV4" s="62">
        <v>5000</v>
      </c>
      <c r="BW4" s="62"/>
      <c r="BX4" s="62"/>
      <c r="BY4" s="62">
        <v>5000</v>
      </c>
      <c r="BZ4" s="62"/>
      <c r="CA4" s="62"/>
      <c r="CB4" s="62">
        <v>5000</v>
      </c>
      <c r="CC4" s="62"/>
      <c r="CD4" s="62"/>
      <c r="CE4" s="62"/>
      <c r="CF4" s="62"/>
      <c r="CG4" s="62"/>
      <c r="CH4" s="62"/>
      <c r="CI4" s="62"/>
      <c r="CJ4" s="62"/>
      <c r="CK4" s="62"/>
      <c r="CL4" s="62">
        <v>5000</v>
      </c>
      <c r="CM4" s="62">
        <v>5000</v>
      </c>
      <c r="CN4" s="62"/>
      <c r="CO4" s="62"/>
      <c r="CP4" s="62"/>
      <c r="CQ4" s="62"/>
      <c r="CR4" s="62">
        <v>5000</v>
      </c>
      <c r="CS4" s="62">
        <v>5000</v>
      </c>
      <c r="CT4" s="62"/>
      <c r="CU4" s="62"/>
      <c r="CV4" s="62"/>
      <c r="CW4" s="62"/>
      <c r="CX4" s="62"/>
      <c r="CY4" s="62"/>
      <c r="CZ4" s="62"/>
      <c r="DA4" s="62"/>
      <c r="DB4" s="62"/>
      <c r="DC4" s="62"/>
      <c r="DD4" s="62"/>
      <c r="DE4" s="62"/>
      <c r="DF4" s="62">
        <v>5000</v>
      </c>
      <c r="DG4" s="62">
        <v>5000</v>
      </c>
      <c r="DH4" s="62"/>
      <c r="DI4" s="62"/>
      <c r="DJ4" s="62"/>
      <c r="DK4" s="62"/>
      <c r="DL4" s="62">
        <v>5000</v>
      </c>
      <c r="DM4" s="62"/>
      <c r="DN4" s="62">
        <v>2000</v>
      </c>
      <c r="DO4" s="62"/>
      <c r="DP4" s="62"/>
      <c r="DQ4" s="62"/>
      <c r="DR4" s="62"/>
      <c r="DS4" s="62"/>
      <c r="DT4" s="62"/>
      <c r="DU4" s="62"/>
      <c r="DV4" s="62"/>
      <c r="DW4" s="62"/>
      <c r="DX4" s="62"/>
      <c r="DY4" s="62"/>
      <c r="DZ4" s="62"/>
      <c r="EA4" s="62"/>
      <c r="EB4" s="62"/>
      <c r="EC4" s="62"/>
      <c r="ED4" s="62"/>
      <c r="EE4" s="62"/>
      <c r="EF4" s="62"/>
      <c r="EG4" s="62"/>
      <c r="EH4" s="62"/>
      <c r="EI4" s="62"/>
      <c r="EJ4" s="62"/>
      <c r="EK4" s="62"/>
      <c r="EL4" s="62"/>
      <c r="EM4" s="62"/>
      <c r="EN4" s="62"/>
      <c r="EO4" s="62"/>
      <c r="EP4" s="62"/>
    </row>
    <row r="5" spans="1:146" x14ac:dyDescent="0.25">
      <c r="A5" s="38">
        <v>44151</v>
      </c>
      <c r="B5" s="54"/>
      <c r="C5" s="35">
        <v>6</v>
      </c>
      <c r="E5" s="35">
        <v>9</v>
      </c>
      <c r="J5" s="35">
        <v>7</v>
      </c>
      <c r="L5" s="35">
        <v>3</v>
      </c>
      <c r="N5" s="35">
        <v>13</v>
      </c>
      <c r="P5" s="35">
        <v>3</v>
      </c>
      <c r="T5" s="35">
        <v>4</v>
      </c>
      <c r="W5" s="35">
        <v>18</v>
      </c>
      <c r="AQ5" s="35">
        <v>3</v>
      </c>
      <c r="AY5" s="35">
        <v>8</v>
      </c>
      <c r="BA5" s="35">
        <v>9</v>
      </c>
      <c r="BB5" s="35">
        <v>4</v>
      </c>
      <c r="BC5" s="35">
        <v>10</v>
      </c>
      <c r="BQ5" s="35">
        <v>4</v>
      </c>
      <c r="BV5" s="35">
        <v>5</v>
      </c>
      <c r="BY5" s="35">
        <v>9</v>
      </c>
      <c r="CB5" s="35">
        <v>6.5</v>
      </c>
      <c r="CL5" s="35">
        <v>3</v>
      </c>
      <c r="CM5" s="35">
        <v>4</v>
      </c>
      <c r="CR5" s="35">
        <v>6</v>
      </c>
      <c r="CS5" s="35">
        <v>5</v>
      </c>
      <c r="DF5" s="35">
        <v>5</v>
      </c>
      <c r="DG5" s="35">
        <v>5</v>
      </c>
      <c r="DL5" s="35">
        <v>1.5</v>
      </c>
      <c r="DN5" s="35">
        <v>7</v>
      </c>
    </row>
    <row r="6" spans="1:146" x14ac:dyDescent="0.25">
      <c r="B6" s="54"/>
      <c r="H6" s="66"/>
    </row>
    <row r="7" spans="1:146" x14ac:dyDescent="0.25">
      <c r="B7" s="54"/>
    </row>
    <row r="8" spans="1:146" x14ac:dyDescent="0.25">
      <c r="B8" s="54"/>
    </row>
    <row r="9" spans="1:146" x14ac:dyDescent="0.25">
      <c r="B9" s="54"/>
    </row>
    <row r="10" spans="1:146" x14ac:dyDescent="0.25">
      <c r="B10" s="54"/>
      <c r="EO10" s="67"/>
    </row>
    <row r="11" spans="1:146" x14ac:dyDescent="0.25">
      <c r="B11" s="54"/>
    </row>
    <row r="12" spans="1:146" x14ac:dyDescent="0.25">
      <c r="B12" s="54"/>
    </row>
    <row r="13" spans="1:146" x14ac:dyDescent="0.25">
      <c r="B13" s="54"/>
    </row>
    <row r="14" spans="1:146" x14ac:dyDescent="0.25">
      <c r="B14" s="54"/>
      <c r="K14" s="64"/>
    </row>
    <row r="15" spans="1:146" x14ac:dyDescent="0.25">
      <c r="B15" s="54"/>
      <c r="J15" s="65"/>
    </row>
    <row r="16" spans="1:146" x14ac:dyDescent="0.25">
      <c r="B16" s="54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x14ac:dyDescent="0.25">
      <c r="B21" s="54"/>
    </row>
    <row r="22" spans="2:2" x14ac:dyDescent="0.25">
      <c r="B22" s="54"/>
    </row>
    <row r="23" spans="2:2" x14ac:dyDescent="0.25">
      <c r="B23" s="54"/>
    </row>
    <row r="24" spans="2:2" x14ac:dyDescent="0.25">
      <c r="B24" s="54"/>
    </row>
    <row r="25" spans="2:2" x14ac:dyDescent="0.25">
      <c r="B25" s="54"/>
    </row>
    <row r="26" spans="2:2" x14ac:dyDescent="0.25">
      <c r="B26" s="54"/>
    </row>
    <row r="27" spans="2:2" x14ac:dyDescent="0.25">
      <c r="B27" s="54"/>
    </row>
    <row r="28" spans="2:2" x14ac:dyDescent="0.25">
      <c r="B28" s="54"/>
    </row>
    <row r="29" spans="2:2" x14ac:dyDescent="0.25">
      <c r="B29" s="54"/>
    </row>
    <row r="30" spans="2:2" x14ac:dyDescent="0.25">
      <c r="B30" s="54"/>
    </row>
    <row r="31" spans="2:2" x14ac:dyDescent="0.25">
      <c r="B31" s="54"/>
    </row>
    <row r="32" spans="2:2" x14ac:dyDescent="0.25">
      <c r="B32" s="54"/>
    </row>
    <row r="33" spans="2:2" x14ac:dyDescent="0.25">
      <c r="B33" s="54"/>
    </row>
    <row r="34" spans="2:2" x14ac:dyDescent="0.25">
      <c r="B34" s="54"/>
    </row>
    <row r="35" spans="2:2" x14ac:dyDescent="0.25">
      <c r="B35" s="54"/>
    </row>
    <row r="36" spans="2:2" x14ac:dyDescent="0.25">
      <c r="B36" s="54"/>
    </row>
    <row r="37" spans="2:2" x14ac:dyDescent="0.25">
      <c r="B37" s="54"/>
    </row>
    <row r="38" spans="2:2" x14ac:dyDescent="0.25">
      <c r="B38" s="54"/>
    </row>
    <row r="39" spans="2:2" x14ac:dyDescent="0.25">
      <c r="B39" s="54"/>
    </row>
    <row r="40" spans="2:2" x14ac:dyDescent="0.25">
      <c r="B40" s="54"/>
    </row>
    <row r="41" spans="2:2" x14ac:dyDescent="0.25">
      <c r="B41" s="54"/>
    </row>
    <row r="42" spans="2:2" x14ac:dyDescent="0.25">
      <c r="B42" s="54"/>
    </row>
    <row r="43" spans="2:2" x14ac:dyDescent="0.25">
      <c r="B43" s="54"/>
    </row>
    <row r="44" spans="2:2" x14ac:dyDescent="0.25">
      <c r="B44" s="54"/>
    </row>
    <row r="45" spans="2:2" x14ac:dyDescent="0.25">
      <c r="B45" s="54"/>
    </row>
    <row r="46" spans="2:2" x14ac:dyDescent="0.25">
      <c r="B46" s="54"/>
    </row>
    <row r="47" spans="2:2" x14ac:dyDescent="0.25">
      <c r="B47" s="54"/>
    </row>
    <row r="48" spans="2:2" x14ac:dyDescent="0.25">
      <c r="B48" s="54"/>
    </row>
    <row r="49" spans="2:2" x14ac:dyDescent="0.25">
      <c r="B49" s="54"/>
    </row>
    <row r="50" spans="2:2" x14ac:dyDescent="0.25">
      <c r="B50" s="54"/>
    </row>
    <row r="51" spans="2:2" x14ac:dyDescent="0.25">
      <c r="B51" s="54"/>
    </row>
    <row r="52" spans="2:2" x14ac:dyDescent="0.25">
      <c r="B52" s="54"/>
    </row>
    <row r="53" spans="2:2" x14ac:dyDescent="0.25">
      <c r="B53" s="54"/>
    </row>
    <row r="54" spans="2:2" x14ac:dyDescent="0.25">
      <c r="B54" s="54"/>
    </row>
    <row r="55" spans="2:2" x14ac:dyDescent="0.25">
      <c r="B55" s="54"/>
    </row>
    <row r="56" spans="2:2" x14ac:dyDescent="0.25">
      <c r="B56" s="54"/>
    </row>
    <row r="57" spans="2:2" x14ac:dyDescent="0.25">
      <c r="B57" s="54"/>
    </row>
    <row r="58" spans="2:2" x14ac:dyDescent="0.25">
      <c r="B58" s="54"/>
    </row>
    <row r="59" spans="2:2" x14ac:dyDescent="0.25">
      <c r="B59" s="54"/>
    </row>
    <row r="60" spans="2:2" x14ac:dyDescent="0.25">
      <c r="B60" s="54"/>
    </row>
    <row r="61" spans="2:2" x14ac:dyDescent="0.25">
      <c r="B61" s="54"/>
    </row>
    <row r="62" spans="2:2" x14ac:dyDescent="0.25">
      <c r="B62" s="54"/>
    </row>
    <row r="63" spans="2:2" x14ac:dyDescent="0.25">
      <c r="B63" s="54"/>
    </row>
    <row r="64" spans="2:2" x14ac:dyDescent="0.25">
      <c r="B64" s="54"/>
    </row>
    <row r="65" spans="2:2" x14ac:dyDescent="0.25">
      <c r="B65" s="54"/>
    </row>
    <row r="66" spans="2:2" x14ac:dyDescent="0.25">
      <c r="B66" s="54"/>
    </row>
    <row r="67" spans="2:2" x14ac:dyDescent="0.25">
      <c r="B67" s="54"/>
    </row>
    <row r="68" spans="2:2" x14ac:dyDescent="0.25">
      <c r="B68" s="54"/>
    </row>
    <row r="69" spans="2:2" x14ac:dyDescent="0.25">
      <c r="B69" s="54"/>
    </row>
    <row r="70" spans="2:2" x14ac:dyDescent="0.25">
      <c r="B70" s="54"/>
    </row>
    <row r="71" spans="2:2" x14ac:dyDescent="0.25">
      <c r="B71" s="54"/>
    </row>
    <row r="72" spans="2:2" x14ac:dyDescent="0.25">
      <c r="B72" s="54"/>
    </row>
    <row r="73" spans="2:2" x14ac:dyDescent="0.25">
      <c r="B73" s="54"/>
    </row>
    <row r="74" spans="2:2" x14ac:dyDescent="0.25">
      <c r="B74" s="54"/>
    </row>
    <row r="75" spans="2:2" x14ac:dyDescent="0.25">
      <c r="B75" s="54"/>
    </row>
    <row r="76" spans="2:2" x14ac:dyDescent="0.25">
      <c r="B76" s="54"/>
    </row>
    <row r="77" spans="2:2" x14ac:dyDescent="0.25">
      <c r="B77" s="54"/>
    </row>
    <row r="78" spans="2:2" x14ac:dyDescent="0.25">
      <c r="B78" s="54"/>
    </row>
    <row r="79" spans="2:2" x14ac:dyDescent="0.25">
      <c r="B79" s="54"/>
    </row>
    <row r="80" spans="2:2" x14ac:dyDescent="0.25">
      <c r="B80" s="54"/>
    </row>
    <row r="81" spans="2:2" x14ac:dyDescent="0.25">
      <c r="B81" s="54"/>
    </row>
    <row r="82" spans="2:2" x14ac:dyDescent="0.25">
      <c r="B82" s="54"/>
    </row>
    <row r="83" spans="2:2" x14ac:dyDescent="0.25">
      <c r="B83" s="54"/>
    </row>
    <row r="84" spans="2:2" x14ac:dyDescent="0.25">
      <c r="B84" s="54"/>
    </row>
    <row r="85" spans="2:2" x14ac:dyDescent="0.25">
      <c r="B85" s="54"/>
    </row>
    <row r="86" spans="2:2" x14ac:dyDescent="0.25">
      <c r="B86" s="54"/>
    </row>
    <row r="87" spans="2:2" x14ac:dyDescent="0.25">
      <c r="B87" s="54"/>
    </row>
    <row r="88" spans="2:2" x14ac:dyDescent="0.25">
      <c r="B88" s="54"/>
    </row>
    <row r="89" spans="2:2" x14ac:dyDescent="0.25">
      <c r="B89" s="54"/>
    </row>
    <row r="90" spans="2:2" x14ac:dyDescent="0.25">
      <c r="B90" s="54"/>
    </row>
    <row r="91" spans="2:2" x14ac:dyDescent="0.25">
      <c r="B91" s="54"/>
    </row>
    <row r="92" spans="2:2" x14ac:dyDescent="0.25">
      <c r="B92" s="54"/>
    </row>
    <row r="93" spans="2:2" x14ac:dyDescent="0.25">
      <c r="B93" s="54"/>
    </row>
    <row r="94" spans="2:2" x14ac:dyDescent="0.25">
      <c r="B94" s="54"/>
    </row>
    <row r="95" spans="2:2" x14ac:dyDescent="0.25">
      <c r="B95" s="54"/>
    </row>
    <row r="96" spans="2:2" x14ac:dyDescent="0.25">
      <c r="B96" s="54"/>
    </row>
    <row r="97" spans="2:2" x14ac:dyDescent="0.25">
      <c r="B97" s="54"/>
    </row>
    <row r="98" spans="2:2" x14ac:dyDescent="0.25">
      <c r="B98" s="54"/>
    </row>
    <row r="99" spans="2:2" x14ac:dyDescent="0.25">
      <c r="B99" s="54"/>
    </row>
    <row r="100" spans="2:2" x14ac:dyDescent="0.25">
      <c r="B100" s="54"/>
    </row>
    <row r="101" spans="2:2" x14ac:dyDescent="0.25">
      <c r="B101" s="54"/>
    </row>
    <row r="102" spans="2:2" x14ac:dyDescent="0.25">
      <c r="B102" s="54"/>
    </row>
    <row r="103" spans="2:2" x14ac:dyDescent="0.25">
      <c r="B103" s="54"/>
    </row>
    <row r="104" spans="2:2" x14ac:dyDescent="0.25">
      <c r="B104" s="54"/>
    </row>
    <row r="105" spans="2:2" x14ac:dyDescent="0.25">
      <c r="B105" s="54"/>
    </row>
    <row r="106" spans="2:2" x14ac:dyDescent="0.25">
      <c r="B106" s="54"/>
    </row>
    <row r="107" spans="2:2" x14ac:dyDescent="0.25">
      <c r="B107" s="54"/>
    </row>
    <row r="108" spans="2:2" x14ac:dyDescent="0.25">
      <c r="B108" s="54"/>
    </row>
    <row r="109" spans="2:2" x14ac:dyDescent="0.25">
      <c r="B109" s="54"/>
    </row>
    <row r="110" spans="2:2" x14ac:dyDescent="0.25">
      <c r="B110" s="54"/>
    </row>
    <row r="111" spans="2:2" x14ac:dyDescent="0.25">
      <c r="B111" s="54"/>
    </row>
    <row r="112" spans="2:2" x14ac:dyDescent="0.25">
      <c r="B112" s="54"/>
    </row>
    <row r="113" spans="2:2" x14ac:dyDescent="0.25">
      <c r="B113" s="54"/>
    </row>
    <row r="114" spans="2:2" x14ac:dyDescent="0.25">
      <c r="B114" s="54"/>
    </row>
    <row r="115" spans="2:2" x14ac:dyDescent="0.25">
      <c r="B115" s="54"/>
    </row>
    <row r="116" spans="2:2" x14ac:dyDescent="0.25">
      <c r="B116" s="54"/>
    </row>
    <row r="117" spans="2:2" x14ac:dyDescent="0.25">
      <c r="B117" s="54"/>
    </row>
    <row r="118" spans="2:2" x14ac:dyDescent="0.25">
      <c r="B118" s="54"/>
    </row>
    <row r="119" spans="2:2" x14ac:dyDescent="0.25">
      <c r="B119" s="54"/>
    </row>
    <row r="120" spans="2:2" x14ac:dyDescent="0.25">
      <c r="B120" s="54"/>
    </row>
    <row r="121" spans="2:2" x14ac:dyDescent="0.25">
      <c r="B121" s="54"/>
    </row>
    <row r="122" spans="2:2" x14ac:dyDescent="0.25">
      <c r="B122" s="54"/>
    </row>
    <row r="123" spans="2:2" x14ac:dyDescent="0.25">
      <c r="B123" s="54"/>
    </row>
    <row r="124" spans="2:2" x14ac:dyDescent="0.25">
      <c r="B124" s="54"/>
    </row>
    <row r="125" spans="2:2" x14ac:dyDescent="0.25">
      <c r="B125" s="54"/>
    </row>
    <row r="126" spans="2:2" x14ac:dyDescent="0.25">
      <c r="B126" s="54"/>
    </row>
    <row r="127" spans="2:2" x14ac:dyDescent="0.25">
      <c r="B127" s="54"/>
    </row>
    <row r="128" spans="2:2" x14ac:dyDescent="0.25">
      <c r="B128" s="54"/>
    </row>
    <row r="129" spans="2:2" x14ac:dyDescent="0.25">
      <c r="B129" s="54"/>
    </row>
    <row r="130" spans="2:2" x14ac:dyDescent="0.25">
      <c r="B130" s="54"/>
    </row>
    <row r="131" spans="2:2" x14ac:dyDescent="0.25">
      <c r="B131" s="54"/>
    </row>
    <row r="132" spans="2:2" x14ac:dyDescent="0.25">
      <c r="B132" s="54"/>
    </row>
    <row r="133" spans="2:2" x14ac:dyDescent="0.25">
      <c r="B133" s="54"/>
    </row>
    <row r="134" spans="2:2" x14ac:dyDescent="0.25">
      <c r="B134" s="54"/>
    </row>
    <row r="135" spans="2:2" x14ac:dyDescent="0.25">
      <c r="B135" s="54"/>
    </row>
    <row r="136" spans="2:2" x14ac:dyDescent="0.25">
      <c r="B136" s="54"/>
    </row>
    <row r="137" spans="2:2" x14ac:dyDescent="0.25">
      <c r="B137" s="54"/>
    </row>
    <row r="138" spans="2:2" x14ac:dyDescent="0.25">
      <c r="B138" s="54"/>
    </row>
    <row r="139" spans="2:2" x14ac:dyDescent="0.25">
      <c r="B139" s="54"/>
    </row>
    <row r="140" spans="2:2" x14ac:dyDescent="0.25">
      <c r="B140" s="54"/>
    </row>
    <row r="141" spans="2:2" x14ac:dyDescent="0.25">
      <c r="B141" s="54"/>
    </row>
    <row r="142" spans="2:2" x14ac:dyDescent="0.25">
      <c r="B142" s="54"/>
    </row>
    <row r="143" spans="2:2" x14ac:dyDescent="0.25">
      <c r="B143" s="54"/>
    </row>
    <row r="144" spans="2:2" x14ac:dyDescent="0.25">
      <c r="B144" s="54"/>
    </row>
    <row r="145" spans="2:2" x14ac:dyDescent="0.25">
      <c r="B145" s="54"/>
    </row>
    <row r="146" spans="2:2" x14ac:dyDescent="0.25">
      <c r="B146" s="54"/>
    </row>
    <row r="147" spans="2:2" x14ac:dyDescent="0.25">
      <c r="B147" s="54"/>
    </row>
    <row r="148" spans="2:2" x14ac:dyDescent="0.25">
      <c r="B148" s="54"/>
    </row>
    <row r="149" spans="2:2" x14ac:dyDescent="0.25">
      <c r="B149" s="54"/>
    </row>
    <row r="150" spans="2:2" x14ac:dyDescent="0.25">
      <c r="B150" s="54"/>
    </row>
    <row r="151" spans="2:2" x14ac:dyDescent="0.25">
      <c r="B151" s="54"/>
    </row>
    <row r="152" spans="2:2" x14ac:dyDescent="0.25">
      <c r="B152" s="54"/>
    </row>
    <row r="153" spans="2:2" x14ac:dyDescent="0.25">
      <c r="B153" s="54"/>
    </row>
    <row r="154" spans="2:2" x14ac:dyDescent="0.25">
      <c r="B154" s="54"/>
    </row>
    <row r="155" spans="2:2" x14ac:dyDescent="0.25">
      <c r="B155" s="54"/>
    </row>
  </sheetData>
  <sortState xmlns:xlrd2="http://schemas.microsoft.com/office/spreadsheetml/2017/richdata2" ref="A5:EP9">
    <sortCondition ref="A5"/>
  </sortState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</dc:creator>
  <cp:lastModifiedBy>VRE Montagem</cp:lastModifiedBy>
  <cp:lastPrinted>2018-07-01T12:11:42Z</cp:lastPrinted>
  <dcterms:created xsi:type="dcterms:W3CDTF">2011-12-04T11:12:31Z</dcterms:created>
  <dcterms:modified xsi:type="dcterms:W3CDTF">2020-11-19T20:27:55Z</dcterms:modified>
</cp:coreProperties>
</file>