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CdGU\Documents\Git\Estoque_VRE\"/>
    </mc:Choice>
  </mc:AlternateContent>
  <xr:revisionPtr revIDLastSave="0" documentId="13_ncr:1_{6918FF3C-34CC-4712-BBDD-DF4DCF97817B}" xr6:coauthVersionLast="45" xr6:coauthVersionMax="45" xr10:uidLastSave="{00000000-0000-0000-0000-000000000000}"/>
  <bookViews>
    <workbookView xWindow="-120" yWindow="-120" windowWidth="20730" windowHeight="11160" xr2:uid="{F5DBBD21-B94D-41D8-A23C-F39DA11184E2}"/>
  </bookViews>
  <sheets>
    <sheet name="SMD" sheetId="6" r:id="rId1"/>
    <sheet name="Placas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48" i="8" l="1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N3" i="6"/>
  <c r="F3" i="6" l="1"/>
  <c r="O3" i="6"/>
  <c r="N5" i="6"/>
  <c r="O5" i="6"/>
  <c r="N4" i="6"/>
  <c r="G3" i="6" l="1"/>
  <c r="G5" i="6"/>
  <c r="F5" i="6"/>
  <c r="F4" i="6"/>
  <c r="O4" i="6"/>
  <c r="G4" i="6" l="1"/>
</calcChain>
</file>

<file path=xl/sharedStrings.xml><?xml version="1.0" encoding="utf-8"?>
<sst xmlns="http://schemas.openxmlformats.org/spreadsheetml/2006/main" count="16" uniqueCount="13">
  <si>
    <t>Nome</t>
  </si>
  <si>
    <t>Rolos</t>
  </si>
  <si>
    <t>Código</t>
  </si>
  <si>
    <t>Quantidade por rolo</t>
  </si>
  <si>
    <t>Lotes</t>
  </si>
  <si>
    <t>Total de Componentes</t>
  </si>
  <si>
    <t>Lote 01</t>
  </si>
  <si>
    <t>Usados</t>
  </si>
  <si>
    <t>Necessários</t>
  </si>
  <si>
    <t>Lote 02</t>
  </si>
  <si>
    <t>Res 0805 1K</t>
  </si>
  <si>
    <t>Res 0805 10K</t>
  </si>
  <si>
    <t>Cap 100nF/50v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</si>
</sst>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7C7C7"/>
        <bgColor indexed="64"/>
      </patternFill>
    </fill>
  </fills>
  <borders count="2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indexed="64"/>
      </right>
      <top style="thin">
        <color theme="2" tint="-0.499984740745262"/>
      </top>
      <bottom style="thin">
        <color indexed="64"/>
      </bottom>
      <diagonal/>
    </border>
    <border>
      <left style="thin">
        <color theme="2" tint="-0.499984740745262"/>
      </left>
      <right style="thin">
        <color indexed="64"/>
      </right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499984740745262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2" tint="-0.499984740745262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65">
    <xf numFmtId="0" fontId="0" fillId="0" borderId="0" xfId="0"/>
    <xf numFmtId="164" fontId="0" fillId="0" borderId="1" xfId="0" applyNumberFormat="1" applyBorder="1" applyAlignment="1">
      <alignment horizontal="center" vertical="center"/>
    </xf>
    <xf numFmtId="164" fontId="0" fillId="0" borderId="1" xfId="0" applyNumberFormat="1" applyBorder="1"/>
    <xf numFmtId="1" fontId="0" fillId="4" borderId="12" xfId="0" applyNumberFormat="1" applyFill="1" applyBorder="1" applyAlignment="1" applyProtection="1">
      <alignment horizontal="center" vertical="center"/>
    </xf>
    <xf numFmtId="1" fontId="0" fillId="4" borderId="6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" fontId="0" fillId="4" borderId="10" xfId="0" applyNumberFormat="1" applyFill="1" applyBorder="1" applyAlignment="1" applyProtection="1">
      <alignment horizontal="center" vertical="center"/>
    </xf>
    <xf numFmtId="1" fontId="0" fillId="4" borderId="1" xfId="0" applyNumberFormat="1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 wrapText="1"/>
    </xf>
    <xf numFmtId="0" fontId="0" fillId="2" borderId="8" xfId="0" applyFill="1" applyBorder="1" applyAlignment="1" applyProtection="1">
      <alignment horizontal="center" vertical="center" wrapText="1"/>
    </xf>
    <xf numFmtId="0" fontId="0" fillId="2" borderId="15" xfId="0" applyFill="1" applyBorder="1" applyAlignment="1" applyProtection="1">
      <alignment horizontal="center" vertical="center" wrapText="1"/>
    </xf>
    <xf numFmtId="0" fontId="0" fillId="4" borderId="1" xfId="0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" fontId="0" fillId="5" borderId="18" xfId="0" applyNumberFormat="1" applyFill="1" applyBorder="1" applyAlignment="1" applyProtection="1">
      <alignment horizontal="center" vertical="center"/>
    </xf>
    <xf numFmtId="1" fontId="0" fillId="5" borderId="19" xfId="0" applyNumberFormat="1" applyFill="1" applyBorder="1" applyAlignment="1" applyProtection="1">
      <alignment horizontal="center" vertical="center"/>
    </xf>
    <xf numFmtId="1" fontId="0" fillId="5" borderId="22" xfId="0" applyNumberFormat="1" applyFill="1" applyBorder="1" applyAlignment="1" applyProtection="1">
      <alignment horizontal="center" vertical="center"/>
    </xf>
    <xf numFmtId="1" fontId="0" fillId="3" borderId="25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5" borderId="19" xfId="0" applyFill="1" applyBorder="1" applyAlignment="1" applyProtection="1">
      <alignment horizontal="center" vertical="center"/>
    </xf>
    <xf numFmtId="0" fontId="0" fillId="4" borderId="1" xfId="0" applyFill="1" applyBorder="1" applyProtection="1"/>
    <xf numFmtId="0" fontId="0" fillId="0" borderId="0" xfId="0" applyProtection="1"/>
    <xf numFmtId="1" fontId="0" fillId="5" borderId="16" xfId="0" applyNumberFormat="1" applyFill="1" applyBorder="1" applyAlignment="1" applyProtection="1">
      <alignment horizontal="center" vertical="center"/>
    </xf>
    <xf numFmtId="1" fontId="0" fillId="5" borderId="13" xfId="0" applyNumberFormat="1" applyFill="1" applyBorder="1" applyAlignment="1" applyProtection="1">
      <alignment horizontal="center" vertical="center"/>
    </xf>
    <xf numFmtId="1" fontId="0" fillId="5" borderId="14" xfId="0" applyNumberFormat="1" applyFill="1" applyBorder="1" applyAlignment="1" applyProtection="1">
      <alignment horizontal="center" vertical="center"/>
    </xf>
    <xf numFmtId="1" fontId="0" fillId="3" borderId="26" xfId="0" applyNumberFormat="1" applyFill="1" applyBorder="1" applyAlignment="1" applyProtection="1">
      <alignment horizontal="center" vertical="center"/>
    </xf>
    <xf numFmtId="0" fontId="0" fillId="5" borderId="16" xfId="0" applyFill="1" applyBorder="1" applyAlignment="1" applyProtection="1">
      <alignment horizontal="center" vertical="center"/>
    </xf>
    <xf numFmtId="0" fontId="0" fillId="5" borderId="13" xfId="0" applyFill="1" applyBorder="1" applyAlignment="1" applyProtection="1">
      <alignment horizontal="center" vertical="center"/>
    </xf>
    <xf numFmtId="0" fontId="0" fillId="0" borderId="1" xfId="0" applyBorder="1" applyProtection="1"/>
    <xf numFmtId="0" fontId="0" fillId="0" borderId="3" xfId="0" applyBorder="1" applyProtection="1"/>
    <xf numFmtId="0" fontId="0" fillId="4" borderId="10" xfId="0" applyFill="1" applyBorder="1" applyProtection="1"/>
    <xf numFmtId="0" fontId="0" fillId="5" borderId="16" xfId="0" applyFill="1" applyBorder="1" applyProtection="1"/>
    <xf numFmtId="0" fontId="0" fillId="5" borderId="13" xfId="0" applyFill="1" applyBorder="1" applyProtection="1"/>
    <xf numFmtId="0" fontId="0" fillId="5" borderId="14" xfId="0" applyFill="1" applyBorder="1" applyProtection="1"/>
    <xf numFmtId="0" fontId="0" fillId="3" borderId="26" xfId="0" applyFill="1" applyBorder="1" applyProtection="1"/>
    <xf numFmtId="0" fontId="0" fillId="0" borderId="0" xfId="0" applyBorder="1" applyProtection="1"/>
    <xf numFmtId="1" fontId="2" fillId="5" borderId="16" xfId="0" applyNumberFormat="1" applyFon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1" fontId="1" fillId="2" borderId="23" xfId="0" applyNumberFormat="1" applyFont="1" applyFill="1" applyBorder="1" applyAlignment="1" applyProtection="1">
      <alignment horizontal="center" vertical="center" wrapText="1"/>
    </xf>
    <xf numFmtId="1" fontId="0" fillId="2" borderId="24" xfId="0" applyNumberFormat="1" applyFill="1" applyBorder="1" applyAlignment="1" applyProtection="1">
      <alignment horizontal="center" vertical="center" wrapText="1"/>
    </xf>
    <xf numFmtId="0" fontId="0" fillId="2" borderId="9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1" fontId="0" fillId="2" borderId="13" xfId="0" applyNumberFormat="1" applyFill="1" applyBorder="1" applyAlignment="1" applyProtection="1">
      <alignment horizontal="center" vertical="center"/>
    </xf>
    <xf numFmtId="1" fontId="0" fillId="2" borderId="20" xfId="0" applyNumberFormat="1" applyFill="1" applyBorder="1" applyAlignment="1" applyProtection="1">
      <alignment horizontal="center" vertical="center"/>
    </xf>
    <xf numFmtId="1" fontId="0" fillId="2" borderId="13" xfId="0" applyNumberFormat="1" applyFill="1" applyBorder="1" applyAlignment="1" applyProtection="1">
      <alignment horizontal="center" vertical="center" wrapText="1"/>
    </xf>
    <xf numFmtId="1" fontId="0" fillId="2" borderId="20" xfId="0" applyNumberFormat="1" applyFill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 wrapText="1"/>
    </xf>
    <xf numFmtId="0" fontId="0" fillId="2" borderId="5" xfId="0" applyFill="1" applyBorder="1" applyAlignment="1" applyProtection="1">
      <alignment horizontal="center" vertical="center" wrapText="1"/>
    </xf>
    <xf numFmtId="1" fontId="0" fillId="2" borderId="2" xfId="0" applyNumberFormat="1" applyFill="1" applyBorder="1" applyAlignment="1" applyProtection="1">
      <alignment horizontal="center" vertical="center"/>
    </xf>
    <xf numFmtId="1" fontId="0" fillId="2" borderId="5" xfId="0" applyNumberFormat="1" applyFill="1" applyBorder="1" applyAlignment="1" applyProtection="1">
      <alignment horizontal="center" vertical="center"/>
    </xf>
    <xf numFmtId="1" fontId="0" fillId="2" borderId="16" xfId="0" applyNumberFormat="1" applyFill="1" applyBorder="1" applyAlignment="1" applyProtection="1">
      <alignment horizontal="center" vertical="center"/>
    </xf>
    <xf numFmtId="1" fontId="0" fillId="2" borderId="17" xfId="0" applyNumberFormat="1" applyFill="1" applyBorder="1" applyAlignment="1" applyProtection="1">
      <alignment horizontal="center" vertical="center"/>
    </xf>
    <xf numFmtId="1" fontId="0" fillId="2" borderId="14" xfId="0" applyNumberFormat="1" applyFill="1" applyBorder="1" applyAlignment="1" applyProtection="1">
      <alignment horizontal="center" vertical="center" wrapText="1"/>
    </xf>
    <xf numFmtId="1" fontId="0" fillId="2" borderId="21" xfId="0" applyNumberFormat="1" applyFill="1" applyBorder="1" applyAlignment="1" applyProtection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  <color rgb="FFC7C7C7"/>
      <color rgb="FFFFDDFF"/>
      <color rgb="FFFF99FF"/>
      <color rgb="FFE6E6E6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41FD4-72B7-4B4B-A2A1-3AF0572FA4AF}">
  <sheetPr codeName="Planilha1"/>
  <dimension ref="A1:V298"/>
  <sheetViews>
    <sheetView tabSelected="1" workbookViewId="0">
      <selection activeCell="L2" sqref="L2"/>
    </sheetView>
  </sheetViews>
  <sheetFormatPr defaultColWidth="0" defaultRowHeight="15" x14ac:dyDescent="0.25"/>
  <cols>
    <col min="1" max="1" width="15" style="30" customWidth="1"/>
    <col min="2" max="2" width="15" style="31" customWidth="1"/>
    <col min="3" max="3" width="18" style="31" customWidth="1"/>
    <col min="4" max="4" width="2.7109375" style="32" customWidth="1"/>
    <col min="5" max="5" width="14.7109375" style="33" customWidth="1"/>
    <col min="6" max="6" width="14.7109375" style="34" customWidth="1"/>
    <col min="7" max="7" width="14.7109375" style="35" customWidth="1"/>
    <col min="8" max="8" width="14.7109375" style="36" customWidth="1"/>
    <col min="9" max="9" width="2.7109375" style="22" customWidth="1"/>
    <col min="10" max="10" width="11" style="31" customWidth="1"/>
    <col min="11" max="11" width="11" style="30" customWidth="1"/>
    <col min="12" max="12" width="11" style="37" customWidth="1"/>
    <col min="13" max="13" width="11" style="37" hidden="1" customWidth="1"/>
    <col min="14" max="14" width="16.140625" style="33" customWidth="1"/>
    <col min="15" max="15" width="16.140625" style="34" customWidth="1"/>
    <col min="16" max="16" width="2.7109375" style="22" customWidth="1"/>
    <col min="17" max="18" width="9.140625" style="23" hidden="1" customWidth="1"/>
    <col min="19" max="22" width="0" style="23" hidden="1" customWidth="1"/>
    <col min="23" max="16384" width="9.140625" style="23" hidden="1"/>
  </cols>
  <sheetData>
    <row r="1" spans="1:16" s="6" customFormat="1" ht="27.75" customHeight="1" x14ac:dyDescent="0.25">
      <c r="A1" s="53" t="s">
        <v>0</v>
      </c>
      <c r="B1" s="55" t="s">
        <v>3</v>
      </c>
      <c r="C1" s="57" t="s">
        <v>2</v>
      </c>
      <c r="D1" s="3"/>
      <c r="E1" s="59" t="s">
        <v>7</v>
      </c>
      <c r="F1" s="49" t="s">
        <v>1</v>
      </c>
      <c r="G1" s="61" t="s">
        <v>5</v>
      </c>
      <c r="H1" s="45" t="s">
        <v>8</v>
      </c>
      <c r="I1" s="4"/>
      <c r="J1" s="47" t="s">
        <v>4</v>
      </c>
      <c r="K1" s="48"/>
      <c r="L1" s="48"/>
      <c r="M1" s="48"/>
      <c r="N1" s="49" t="s">
        <v>1</v>
      </c>
      <c r="O1" s="51" t="s">
        <v>5</v>
      </c>
      <c r="P1" s="5"/>
    </row>
    <row r="2" spans="1:16" s="6" customFormat="1" ht="15" customHeight="1" x14ac:dyDescent="0.25">
      <c r="A2" s="54"/>
      <c r="B2" s="56"/>
      <c r="C2" s="58"/>
      <c r="D2" s="7"/>
      <c r="E2" s="60"/>
      <c r="F2" s="50"/>
      <c r="G2" s="62"/>
      <c r="H2" s="46"/>
      <c r="I2" s="8"/>
      <c r="J2" s="9" t="s">
        <v>6</v>
      </c>
      <c r="K2" s="10" t="s">
        <v>9</v>
      </c>
      <c r="L2" s="11"/>
      <c r="M2" s="11"/>
      <c r="N2" s="50"/>
      <c r="O2" s="52"/>
      <c r="P2" s="12"/>
    </row>
    <row r="3" spans="1:16" x14ac:dyDescent="0.25">
      <c r="A3" s="13" t="s">
        <v>12</v>
      </c>
      <c r="B3" s="14">
        <v>2000</v>
      </c>
      <c r="C3" s="15">
        <v>852678902144</v>
      </c>
      <c r="D3" s="3"/>
      <c r="E3" s="16"/>
      <c r="F3" s="17">
        <f t="shared" ref="F3:G5" ca="1" si="0">VALUE(N3)</f>
        <v>0</v>
      </c>
      <c r="G3" s="18">
        <f t="shared" ca="1" si="0"/>
        <v>0</v>
      </c>
      <c r="H3" s="19"/>
      <c r="I3" s="4"/>
      <c r="J3" s="39"/>
      <c r="K3" s="40"/>
      <c r="L3" s="43"/>
      <c r="M3" s="20"/>
      <c r="N3" s="16">
        <f ca="1">SUM(J3:INDIRECT(ADDRESS(ROW(),COLUMN()-1)))-E3</f>
        <v>0</v>
      </c>
      <c r="O3" s="21">
        <f ca="1">B3*INDIRECT(ADDRESS(ROW(),COLUMN()-1))</f>
        <v>0</v>
      </c>
    </row>
    <row r="4" spans="1:16" x14ac:dyDescent="0.25">
      <c r="A4" s="13" t="s">
        <v>11</v>
      </c>
      <c r="B4" s="14">
        <v>1500</v>
      </c>
      <c r="C4" s="15">
        <v>683318941885</v>
      </c>
      <c r="D4" s="3"/>
      <c r="E4" s="16">
        <v>4</v>
      </c>
      <c r="F4" s="17">
        <f t="shared" ca="1" si="0"/>
        <v>5</v>
      </c>
      <c r="G4" s="18">
        <f t="shared" ca="1" si="0"/>
        <v>7500</v>
      </c>
      <c r="H4" s="19"/>
      <c r="I4" s="4"/>
      <c r="J4" s="39"/>
      <c r="K4" s="40">
        <v>9</v>
      </c>
      <c r="L4" s="43"/>
      <c r="M4" s="20"/>
      <c r="N4" s="16">
        <f ca="1">SUM(J4:INDIRECT(ADDRESS(ROW(),COLUMN()-1)))-E4</f>
        <v>5</v>
      </c>
      <c r="O4" s="21">
        <f ca="1">B4*INDIRECT(ADDRESS(ROW(),COLUMN()-1))</f>
        <v>7500</v>
      </c>
    </row>
    <row r="5" spans="1:16" x14ac:dyDescent="0.25">
      <c r="A5" s="13" t="s">
        <v>10</v>
      </c>
      <c r="B5" s="14">
        <v>1000</v>
      </c>
      <c r="C5" s="15">
        <v>751320240095</v>
      </c>
      <c r="D5" s="3"/>
      <c r="E5" s="16"/>
      <c r="F5" s="17">
        <f t="shared" ca="1" si="0"/>
        <v>8</v>
      </c>
      <c r="G5" s="18">
        <f t="shared" ca="1" si="0"/>
        <v>8000</v>
      </c>
      <c r="H5" s="19"/>
      <c r="I5" s="4"/>
      <c r="J5" s="39">
        <v>8</v>
      </c>
      <c r="K5" s="40"/>
      <c r="L5" s="43"/>
      <c r="M5" s="20"/>
      <c r="N5" s="16">
        <f ca="1">SUM(J5:INDIRECT(ADDRESS(ROW(),COLUMN()-1)))-E5</f>
        <v>8</v>
      </c>
      <c r="O5" s="21">
        <f ca="1">B5*INDIRECT(ADDRESS(ROW(),COLUMN()-1))</f>
        <v>8000</v>
      </c>
    </row>
    <row r="6" spans="1:16" x14ac:dyDescent="0.25">
      <c r="A6" s="13"/>
      <c r="B6" s="14"/>
      <c r="C6" s="15"/>
      <c r="D6" s="3"/>
      <c r="E6" s="16"/>
      <c r="F6" s="17"/>
      <c r="G6" s="18"/>
      <c r="H6" s="19"/>
      <c r="I6" s="4"/>
      <c r="J6" s="39"/>
      <c r="K6" s="40"/>
      <c r="L6" s="43"/>
      <c r="M6" s="20"/>
      <c r="N6" s="16"/>
      <c r="O6" s="21"/>
    </row>
    <row r="7" spans="1:16" x14ac:dyDescent="0.25">
      <c r="A7" s="13"/>
      <c r="B7" s="14"/>
      <c r="C7" s="15"/>
      <c r="D7" s="3"/>
      <c r="E7" s="16"/>
      <c r="F7" s="17"/>
      <c r="G7" s="18"/>
      <c r="H7" s="19"/>
      <c r="I7" s="4"/>
      <c r="J7" s="39"/>
      <c r="K7" s="40"/>
      <c r="L7" s="43"/>
      <c r="M7" s="20"/>
      <c r="N7" s="16"/>
      <c r="O7" s="21"/>
    </row>
    <row r="8" spans="1:16" x14ac:dyDescent="0.25">
      <c r="A8" s="13"/>
      <c r="B8" s="14"/>
      <c r="C8" s="15"/>
      <c r="D8" s="3"/>
      <c r="E8" s="24"/>
      <c r="F8" s="25"/>
      <c r="G8" s="26"/>
      <c r="H8" s="27"/>
      <c r="I8" s="4"/>
      <c r="J8" s="39"/>
      <c r="K8" s="40"/>
      <c r="L8" s="43"/>
      <c r="M8" s="20"/>
      <c r="N8" s="28"/>
      <c r="O8" s="29"/>
    </row>
    <row r="9" spans="1:16" x14ac:dyDescent="0.25">
      <c r="A9" s="13"/>
      <c r="B9" s="14"/>
      <c r="C9" s="15"/>
      <c r="D9" s="3"/>
      <c r="E9" s="24"/>
      <c r="F9" s="25"/>
      <c r="G9" s="26"/>
      <c r="H9" s="27"/>
      <c r="I9" s="4"/>
      <c r="J9" s="39"/>
      <c r="K9" s="40"/>
      <c r="L9" s="43"/>
      <c r="M9" s="20"/>
      <c r="N9" s="28"/>
      <c r="O9" s="29"/>
    </row>
    <row r="10" spans="1:16" x14ac:dyDescent="0.25">
      <c r="A10" s="13"/>
      <c r="B10" s="14"/>
      <c r="C10" s="15"/>
      <c r="D10" s="3"/>
      <c r="E10" s="38"/>
      <c r="F10" s="25"/>
      <c r="G10" s="26"/>
      <c r="H10" s="27"/>
      <c r="I10" s="4"/>
      <c r="J10" s="39"/>
      <c r="K10" s="40"/>
      <c r="L10" s="43"/>
      <c r="M10" s="20"/>
      <c r="N10" s="28"/>
      <c r="O10" s="29"/>
    </row>
    <row r="11" spans="1:16" x14ac:dyDescent="0.25">
      <c r="J11" s="41"/>
      <c r="K11" s="42"/>
      <c r="L11" s="44"/>
    </row>
    <row r="12" spans="1:16" x14ac:dyDescent="0.25">
      <c r="J12" s="41"/>
      <c r="K12" s="42"/>
      <c r="L12" s="44"/>
    </row>
    <row r="13" spans="1:16" x14ac:dyDescent="0.25">
      <c r="J13" s="41"/>
      <c r="K13" s="42"/>
      <c r="L13" s="44"/>
    </row>
    <row r="14" spans="1:16" x14ac:dyDescent="0.25">
      <c r="J14" s="41"/>
      <c r="K14" s="42"/>
      <c r="L14" s="44"/>
    </row>
    <row r="15" spans="1:16" x14ac:dyDescent="0.25">
      <c r="J15" s="41"/>
      <c r="K15" s="42"/>
      <c r="L15" s="44"/>
    </row>
    <row r="16" spans="1:16" x14ac:dyDescent="0.25">
      <c r="J16" s="41"/>
      <c r="K16" s="42"/>
      <c r="L16" s="44"/>
    </row>
    <row r="17" spans="10:12" x14ac:dyDescent="0.25">
      <c r="J17" s="41"/>
      <c r="K17" s="42"/>
      <c r="L17" s="44"/>
    </row>
    <row r="18" spans="10:12" x14ac:dyDescent="0.25">
      <c r="J18" s="41"/>
      <c r="K18" s="42"/>
      <c r="L18" s="44"/>
    </row>
    <row r="19" spans="10:12" x14ac:dyDescent="0.25">
      <c r="J19" s="41"/>
      <c r="K19" s="42"/>
      <c r="L19" s="44"/>
    </row>
    <row r="20" spans="10:12" x14ac:dyDescent="0.25">
      <c r="J20" s="41"/>
      <c r="K20" s="42"/>
      <c r="L20" s="44"/>
    </row>
    <row r="21" spans="10:12" x14ac:dyDescent="0.25">
      <c r="J21" s="41"/>
      <c r="K21" s="42"/>
      <c r="L21" s="44"/>
    </row>
    <row r="22" spans="10:12" x14ac:dyDescent="0.25">
      <c r="J22" s="41"/>
      <c r="K22" s="42"/>
      <c r="L22" s="44"/>
    </row>
    <row r="23" spans="10:12" x14ac:dyDescent="0.25">
      <c r="J23" s="41"/>
      <c r="K23" s="42"/>
      <c r="L23" s="44"/>
    </row>
    <row r="24" spans="10:12" x14ac:dyDescent="0.25">
      <c r="J24" s="41"/>
      <c r="K24" s="42"/>
      <c r="L24" s="44"/>
    </row>
    <row r="25" spans="10:12" x14ac:dyDescent="0.25">
      <c r="J25" s="41"/>
      <c r="K25" s="42"/>
      <c r="L25" s="44"/>
    </row>
    <row r="26" spans="10:12" x14ac:dyDescent="0.25">
      <c r="J26" s="41"/>
      <c r="K26" s="42"/>
      <c r="L26" s="44"/>
    </row>
    <row r="27" spans="10:12" x14ac:dyDescent="0.25">
      <c r="J27" s="41"/>
      <c r="K27" s="42"/>
      <c r="L27" s="44"/>
    </row>
    <row r="28" spans="10:12" x14ac:dyDescent="0.25">
      <c r="J28" s="41"/>
      <c r="K28" s="42"/>
      <c r="L28" s="44"/>
    </row>
    <row r="29" spans="10:12" x14ac:dyDescent="0.25">
      <c r="J29" s="41"/>
      <c r="K29" s="42"/>
      <c r="L29" s="44"/>
    </row>
    <row r="30" spans="10:12" x14ac:dyDescent="0.25">
      <c r="J30" s="41"/>
      <c r="K30" s="42"/>
      <c r="L30" s="44"/>
    </row>
    <row r="31" spans="10:12" x14ac:dyDescent="0.25">
      <c r="J31" s="41"/>
      <c r="K31" s="42"/>
      <c r="L31" s="44"/>
    </row>
    <row r="32" spans="10:12" x14ac:dyDescent="0.25">
      <c r="J32" s="41"/>
      <c r="K32" s="42"/>
      <c r="L32" s="44"/>
    </row>
    <row r="33" spans="10:12" x14ac:dyDescent="0.25">
      <c r="J33" s="41"/>
      <c r="K33" s="42"/>
      <c r="L33" s="44"/>
    </row>
    <row r="34" spans="10:12" x14ac:dyDescent="0.25">
      <c r="J34" s="41"/>
      <c r="K34" s="42"/>
      <c r="L34" s="44"/>
    </row>
    <row r="35" spans="10:12" x14ac:dyDescent="0.25">
      <c r="J35" s="41"/>
      <c r="K35" s="42"/>
      <c r="L35" s="44"/>
    </row>
    <row r="36" spans="10:12" x14ac:dyDescent="0.25">
      <c r="J36" s="41"/>
      <c r="K36" s="42"/>
      <c r="L36" s="44"/>
    </row>
    <row r="37" spans="10:12" x14ac:dyDescent="0.25">
      <c r="J37" s="41"/>
      <c r="K37" s="42"/>
      <c r="L37" s="44"/>
    </row>
    <row r="38" spans="10:12" x14ac:dyDescent="0.25">
      <c r="J38" s="41"/>
      <c r="K38" s="42"/>
      <c r="L38" s="44"/>
    </row>
    <row r="39" spans="10:12" x14ac:dyDescent="0.25">
      <c r="J39" s="41"/>
      <c r="K39" s="42"/>
      <c r="L39" s="44"/>
    </row>
    <row r="40" spans="10:12" x14ac:dyDescent="0.25">
      <c r="J40" s="41"/>
      <c r="K40" s="42"/>
      <c r="L40" s="44"/>
    </row>
    <row r="41" spans="10:12" x14ac:dyDescent="0.25">
      <c r="J41" s="41"/>
      <c r="K41" s="42"/>
      <c r="L41" s="44"/>
    </row>
    <row r="42" spans="10:12" x14ac:dyDescent="0.25">
      <c r="J42" s="41"/>
      <c r="K42" s="42"/>
      <c r="L42" s="44"/>
    </row>
    <row r="43" spans="10:12" x14ac:dyDescent="0.25">
      <c r="J43" s="41"/>
      <c r="K43" s="42"/>
      <c r="L43" s="44"/>
    </row>
    <row r="44" spans="10:12" x14ac:dyDescent="0.25">
      <c r="J44" s="41"/>
      <c r="K44" s="42"/>
      <c r="L44" s="44"/>
    </row>
    <row r="45" spans="10:12" x14ac:dyDescent="0.25">
      <c r="J45" s="41"/>
      <c r="K45" s="42"/>
      <c r="L45" s="44"/>
    </row>
    <row r="46" spans="10:12" x14ac:dyDescent="0.25">
      <c r="J46" s="41"/>
      <c r="K46" s="42"/>
      <c r="L46" s="44"/>
    </row>
    <row r="47" spans="10:12" x14ac:dyDescent="0.25">
      <c r="J47" s="41"/>
      <c r="K47" s="42"/>
      <c r="L47" s="44"/>
    </row>
    <row r="48" spans="10:12" x14ac:dyDescent="0.25">
      <c r="J48" s="41"/>
      <c r="K48" s="42"/>
      <c r="L48" s="44"/>
    </row>
    <row r="49" spans="10:12" x14ac:dyDescent="0.25">
      <c r="J49" s="41"/>
      <c r="K49" s="42"/>
      <c r="L49" s="44"/>
    </row>
    <row r="50" spans="10:12" x14ac:dyDescent="0.25">
      <c r="J50" s="41"/>
      <c r="K50" s="42"/>
      <c r="L50" s="44"/>
    </row>
    <row r="51" spans="10:12" x14ac:dyDescent="0.25">
      <c r="J51" s="41"/>
      <c r="K51" s="42"/>
      <c r="L51" s="44"/>
    </row>
    <row r="52" spans="10:12" x14ac:dyDescent="0.25">
      <c r="J52" s="41"/>
      <c r="K52" s="42"/>
      <c r="L52" s="44"/>
    </row>
    <row r="53" spans="10:12" x14ac:dyDescent="0.25">
      <c r="J53" s="41"/>
      <c r="K53" s="42"/>
      <c r="L53" s="44"/>
    </row>
    <row r="54" spans="10:12" x14ac:dyDescent="0.25">
      <c r="J54" s="41"/>
      <c r="K54" s="42"/>
      <c r="L54" s="44"/>
    </row>
    <row r="55" spans="10:12" x14ac:dyDescent="0.25">
      <c r="J55" s="41"/>
      <c r="K55" s="42"/>
      <c r="L55" s="44"/>
    </row>
    <row r="56" spans="10:12" x14ac:dyDescent="0.25">
      <c r="J56" s="41"/>
      <c r="K56" s="42"/>
      <c r="L56" s="44"/>
    </row>
    <row r="57" spans="10:12" x14ac:dyDescent="0.25">
      <c r="J57" s="41"/>
      <c r="K57" s="42"/>
      <c r="L57" s="44"/>
    </row>
    <row r="58" spans="10:12" x14ac:dyDescent="0.25">
      <c r="J58" s="41"/>
      <c r="K58" s="42"/>
      <c r="L58" s="44"/>
    </row>
    <row r="59" spans="10:12" x14ac:dyDescent="0.25">
      <c r="J59" s="41"/>
      <c r="K59" s="42"/>
      <c r="L59" s="44"/>
    </row>
    <row r="60" spans="10:12" x14ac:dyDescent="0.25">
      <c r="J60" s="41"/>
      <c r="K60" s="42"/>
      <c r="L60" s="44"/>
    </row>
    <row r="61" spans="10:12" x14ac:dyDescent="0.25">
      <c r="J61" s="41"/>
      <c r="K61" s="42"/>
      <c r="L61" s="44"/>
    </row>
    <row r="62" spans="10:12" x14ac:dyDescent="0.25">
      <c r="J62" s="41"/>
      <c r="K62" s="42"/>
      <c r="L62" s="44"/>
    </row>
    <row r="63" spans="10:12" x14ac:dyDescent="0.25">
      <c r="J63" s="41"/>
      <c r="K63" s="42"/>
      <c r="L63" s="44"/>
    </row>
    <row r="64" spans="10:12" x14ac:dyDescent="0.25">
      <c r="J64" s="41"/>
      <c r="K64" s="42"/>
      <c r="L64" s="44"/>
    </row>
    <row r="65" spans="10:12" x14ac:dyDescent="0.25">
      <c r="J65" s="41"/>
      <c r="K65" s="42"/>
      <c r="L65" s="44"/>
    </row>
    <row r="66" spans="10:12" x14ac:dyDescent="0.25">
      <c r="J66" s="41"/>
      <c r="K66" s="42"/>
      <c r="L66" s="44"/>
    </row>
    <row r="67" spans="10:12" x14ac:dyDescent="0.25">
      <c r="J67" s="41"/>
      <c r="K67" s="42"/>
      <c r="L67" s="44"/>
    </row>
    <row r="68" spans="10:12" x14ac:dyDescent="0.25">
      <c r="J68" s="41"/>
      <c r="K68" s="42"/>
      <c r="L68" s="44"/>
    </row>
    <row r="69" spans="10:12" x14ac:dyDescent="0.25">
      <c r="J69" s="41"/>
      <c r="K69" s="42"/>
      <c r="L69" s="44"/>
    </row>
    <row r="70" spans="10:12" x14ac:dyDescent="0.25">
      <c r="J70" s="41"/>
      <c r="K70" s="42"/>
      <c r="L70" s="44"/>
    </row>
    <row r="71" spans="10:12" x14ac:dyDescent="0.25">
      <c r="J71" s="41"/>
      <c r="K71" s="42"/>
      <c r="L71" s="44"/>
    </row>
    <row r="72" spans="10:12" x14ac:dyDescent="0.25">
      <c r="J72" s="41"/>
      <c r="K72" s="42"/>
      <c r="L72" s="44"/>
    </row>
    <row r="73" spans="10:12" x14ac:dyDescent="0.25">
      <c r="J73" s="41"/>
      <c r="K73" s="42"/>
      <c r="L73" s="44"/>
    </row>
    <row r="74" spans="10:12" x14ac:dyDescent="0.25">
      <c r="J74" s="41"/>
      <c r="K74" s="42"/>
      <c r="L74" s="44"/>
    </row>
    <row r="75" spans="10:12" x14ac:dyDescent="0.25">
      <c r="J75" s="41"/>
      <c r="K75" s="42"/>
      <c r="L75" s="44"/>
    </row>
    <row r="76" spans="10:12" x14ac:dyDescent="0.25">
      <c r="J76" s="41"/>
      <c r="K76" s="42"/>
      <c r="L76" s="44"/>
    </row>
    <row r="77" spans="10:12" x14ac:dyDescent="0.25">
      <c r="J77" s="41"/>
      <c r="K77" s="42"/>
      <c r="L77" s="44"/>
    </row>
    <row r="78" spans="10:12" x14ac:dyDescent="0.25">
      <c r="J78" s="41"/>
      <c r="K78" s="42"/>
      <c r="L78" s="44"/>
    </row>
    <row r="79" spans="10:12" x14ac:dyDescent="0.25">
      <c r="J79" s="41"/>
      <c r="K79" s="42"/>
      <c r="L79" s="44"/>
    </row>
    <row r="80" spans="10:12" x14ac:dyDescent="0.25">
      <c r="J80" s="41"/>
      <c r="K80" s="42"/>
      <c r="L80" s="44"/>
    </row>
    <row r="81" spans="10:12" x14ac:dyDescent="0.25">
      <c r="J81" s="41"/>
      <c r="K81" s="42"/>
      <c r="L81" s="44"/>
    </row>
    <row r="82" spans="10:12" x14ac:dyDescent="0.25">
      <c r="J82" s="41"/>
      <c r="K82" s="42"/>
      <c r="L82" s="44"/>
    </row>
    <row r="83" spans="10:12" x14ac:dyDescent="0.25">
      <c r="J83" s="41"/>
      <c r="K83" s="42"/>
      <c r="L83" s="44"/>
    </row>
    <row r="84" spans="10:12" x14ac:dyDescent="0.25">
      <c r="J84" s="41"/>
      <c r="K84" s="42"/>
      <c r="L84" s="44"/>
    </row>
    <row r="85" spans="10:12" x14ac:dyDescent="0.25">
      <c r="J85" s="41"/>
      <c r="K85" s="42"/>
      <c r="L85" s="44"/>
    </row>
    <row r="86" spans="10:12" x14ac:dyDescent="0.25">
      <c r="J86" s="41"/>
      <c r="K86" s="42"/>
      <c r="L86" s="44"/>
    </row>
    <row r="87" spans="10:12" x14ac:dyDescent="0.25">
      <c r="J87" s="41"/>
      <c r="K87" s="42"/>
      <c r="L87" s="44"/>
    </row>
    <row r="88" spans="10:12" x14ac:dyDescent="0.25">
      <c r="J88" s="41"/>
      <c r="K88" s="42"/>
      <c r="L88" s="44"/>
    </row>
    <row r="89" spans="10:12" x14ac:dyDescent="0.25">
      <c r="J89" s="41"/>
      <c r="K89" s="42"/>
      <c r="L89" s="44"/>
    </row>
    <row r="90" spans="10:12" x14ac:dyDescent="0.25">
      <c r="J90" s="41"/>
      <c r="K90" s="42"/>
      <c r="L90" s="44"/>
    </row>
    <row r="91" spans="10:12" x14ac:dyDescent="0.25">
      <c r="J91" s="41"/>
      <c r="K91" s="42"/>
      <c r="L91" s="44"/>
    </row>
    <row r="92" spans="10:12" x14ac:dyDescent="0.25">
      <c r="J92" s="41"/>
      <c r="K92" s="42"/>
      <c r="L92" s="44"/>
    </row>
    <row r="93" spans="10:12" x14ac:dyDescent="0.25">
      <c r="J93" s="41"/>
      <c r="K93" s="42"/>
      <c r="L93" s="44"/>
    </row>
    <row r="94" spans="10:12" x14ac:dyDescent="0.25">
      <c r="J94" s="41"/>
      <c r="K94" s="42"/>
      <c r="L94" s="44"/>
    </row>
    <row r="95" spans="10:12" x14ac:dyDescent="0.25">
      <c r="J95" s="41"/>
      <c r="K95" s="42"/>
      <c r="L95" s="44"/>
    </row>
    <row r="96" spans="10:12" x14ac:dyDescent="0.25">
      <c r="J96" s="41"/>
      <c r="K96" s="42"/>
      <c r="L96" s="44"/>
    </row>
    <row r="97" spans="10:12" x14ac:dyDescent="0.25">
      <c r="J97" s="41"/>
      <c r="K97" s="42"/>
      <c r="L97" s="44"/>
    </row>
    <row r="98" spans="10:12" x14ac:dyDescent="0.25">
      <c r="J98" s="41"/>
      <c r="K98" s="42"/>
      <c r="L98" s="44"/>
    </row>
    <row r="99" spans="10:12" x14ac:dyDescent="0.25">
      <c r="J99" s="41"/>
      <c r="K99" s="42"/>
      <c r="L99" s="44"/>
    </row>
    <row r="100" spans="10:12" x14ac:dyDescent="0.25">
      <c r="J100" s="41"/>
      <c r="K100" s="42"/>
      <c r="L100" s="44"/>
    </row>
    <row r="101" spans="10:12" x14ac:dyDescent="0.25">
      <c r="J101" s="41"/>
      <c r="K101" s="42"/>
      <c r="L101" s="44"/>
    </row>
    <row r="102" spans="10:12" x14ac:dyDescent="0.25">
      <c r="J102" s="41"/>
      <c r="K102" s="42"/>
      <c r="L102" s="44"/>
    </row>
    <row r="103" spans="10:12" x14ac:dyDescent="0.25">
      <c r="J103" s="41"/>
      <c r="K103" s="42"/>
      <c r="L103" s="44"/>
    </row>
    <row r="104" spans="10:12" x14ac:dyDescent="0.25">
      <c r="J104" s="41"/>
      <c r="K104" s="42"/>
      <c r="L104" s="44"/>
    </row>
    <row r="105" spans="10:12" x14ac:dyDescent="0.25">
      <c r="J105" s="41"/>
      <c r="K105" s="42"/>
      <c r="L105" s="44"/>
    </row>
    <row r="106" spans="10:12" x14ac:dyDescent="0.25">
      <c r="J106" s="41"/>
      <c r="K106" s="42"/>
      <c r="L106" s="44"/>
    </row>
    <row r="107" spans="10:12" x14ac:dyDescent="0.25">
      <c r="J107" s="41"/>
      <c r="K107" s="42"/>
      <c r="L107" s="44"/>
    </row>
    <row r="108" spans="10:12" x14ac:dyDescent="0.25">
      <c r="J108" s="41"/>
      <c r="K108" s="42"/>
      <c r="L108" s="44"/>
    </row>
    <row r="109" spans="10:12" x14ac:dyDescent="0.25">
      <c r="J109" s="41"/>
      <c r="K109" s="42"/>
      <c r="L109" s="44"/>
    </row>
    <row r="110" spans="10:12" x14ac:dyDescent="0.25">
      <c r="J110" s="41"/>
      <c r="K110" s="42"/>
      <c r="L110" s="44"/>
    </row>
    <row r="111" spans="10:12" x14ac:dyDescent="0.25">
      <c r="J111" s="41"/>
      <c r="K111" s="42"/>
      <c r="L111" s="44"/>
    </row>
    <row r="112" spans="10:12" x14ac:dyDescent="0.25">
      <c r="J112" s="41"/>
      <c r="K112" s="42"/>
      <c r="L112" s="44"/>
    </row>
    <row r="113" spans="10:12" x14ac:dyDescent="0.25">
      <c r="J113" s="41"/>
      <c r="K113" s="42"/>
      <c r="L113" s="44"/>
    </row>
    <row r="114" spans="10:12" x14ac:dyDescent="0.25">
      <c r="J114" s="41"/>
      <c r="K114" s="42"/>
      <c r="L114" s="44"/>
    </row>
    <row r="115" spans="10:12" x14ac:dyDescent="0.25">
      <c r="J115" s="41"/>
      <c r="K115" s="42"/>
      <c r="L115" s="44"/>
    </row>
    <row r="116" spans="10:12" x14ac:dyDescent="0.25">
      <c r="J116" s="41"/>
      <c r="K116" s="42"/>
      <c r="L116" s="44"/>
    </row>
    <row r="117" spans="10:12" x14ac:dyDescent="0.25">
      <c r="J117" s="41"/>
      <c r="K117" s="42"/>
      <c r="L117" s="44"/>
    </row>
    <row r="118" spans="10:12" x14ac:dyDescent="0.25">
      <c r="J118" s="41"/>
      <c r="K118" s="42"/>
      <c r="L118" s="44"/>
    </row>
    <row r="119" spans="10:12" x14ac:dyDescent="0.25">
      <c r="J119" s="41"/>
      <c r="K119" s="42"/>
      <c r="L119" s="44"/>
    </row>
    <row r="120" spans="10:12" x14ac:dyDescent="0.25">
      <c r="J120" s="41"/>
      <c r="K120" s="42"/>
      <c r="L120" s="44"/>
    </row>
    <row r="121" spans="10:12" x14ac:dyDescent="0.25">
      <c r="J121" s="41"/>
      <c r="K121" s="42"/>
      <c r="L121" s="44"/>
    </row>
    <row r="122" spans="10:12" x14ac:dyDescent="0.25">
      <c r="J122" s="41"/>
      <c r="K122" s="42"/>
      <c r="L122" s="44"/>
    </row>
    <row r="123" spans="10:12" x14ac:dyDescent="0.25">
      <c r="J123" s="41"/>
      <c r="K123" s="42"/>
      <c r="L123" s="44"/>
    </row>
    <row r="124" spans="10:12" x14ac:dyDescent="0.25">
      <c r="J124" s="41"/>
      <c r="K124" s="42"/>
      <c r="L124" s="44"/>
    </row>
    <row r="125" spans="10:12" x14ac:dyDescent="0.25">
      <c r="J125" s="41"/>
      <c r="K125" s="42"/>
      <c r="L125" s="44"/>
    </row>
    <row r="126" spans="10:12" x14ac:dyDescent="0.25">
      <c r="J126" s="41"/>
      <c r="K126" s="42"/>
      <c r="L126" s="44"/>
    </row>
    <row r="127" spans="10:12" x14ac:dyDescent="0.25">
      <c r="J127" s="41"/>
      <c r="K127" s="42"/>
      <c r="L127" s="44"/>
    </row>
    <row r="128" spans="10:12" x14ac:dyDescent="0.25">
      <c r="J128" s="41"/>
      <c r="K128" s="42"/>
      <c r="L128" s="44"/>
    </row>
    <row r="129" spans="10:12" x14ac:dyDescent="0.25">
      <c r="J129" s="41"/>
      <c r="K129" s="42"/>
      <c r="L129" s="44"/>
    </row>
    <row r="130" spans="10:12" x14ac:dyDescent="0.25">
      <c r="J130" s="41"/>
      <c r="K130" s="42"/>
      <c r="L130" s="44"/>
    </row>
    <row r="131" spans="10:12" x14ac:dyDescent="0.25">
      <c r="J131" s="41"/>
      <c r="K131" s="42"/>
      <c r="L131" s="44"/>
    </row>
    <row r="132" spans="10:12" x14ac:dyDescent="0.25">
      <c r="J132" s="41"/>
      <c r="K132" s="42"/>
      <c r="L132" s="44"/>
    </row>
    <row r="133" spans="10:12" x14ac:dyDescent="0.25">
      <c r="J133" s="41"/>
      <c r="K133" s="42"/>
      <c r="L133" s="44"/>
    </row>
    <row r="134" spans="10:12" x14ac:dyDescent="0.25">
      <c r="J134" s="41"/>
      <c r="K134" s="42"/>
      <c r="L134" s="44"/>
    </row>
    <row r="135" spans="10:12" x14ac:dyDescent="0.25">
      <c r="J135" s="41"/>
      <c r="K135" s="42"/>
      <c r="L135" s="44"/>
    </row>
    <row r="136" spans="10:12" x14ac:dyDescent="0.25">
      <c r="J136" s="41"/>
      <c r="K136" s="42"/>
      <c r="L136" s="44"/>
    </row>
    <row r="137" spans="10:12" x14ac:dyDescent="0.25">
      <c r="J137" s="41"/>
      <c r="K137" s="42"/>
      <c r="L137" s="44"/>
    </row>
    <row r="138" spans="10:12" x14ac:dyDescent="0.25">
      <c r="J138" s="41"/>
      <c r="K138" s="42"/>
      <c r="L138" s="44"/>
    </row>
    <row r="139" spans="10:12" x14ac:dyDescent="0.25">
      <c r="J139" s="41"/>
      <c r="K139" s="42"/>
      <c r="L139" s="44"/>
    </row>
    <row r="140" spans="10:12" x14ac:dyDescent="0.25">
      <c r="J140" s="41"/>
      <c r="K140" s="42"/>
      <c r="L140" s="44"/>
    </row>
    <row r="141" spans="10:12" x14ac:dyDescent="0.25">
      <c r="J141" s="41"/>
      <c r="K141" s="42"/>
      <c r="L141" s="44"/>
    </row>
    <row r="142" spans="10:12" x14ac:dyDescent="0.25">
      <c r="J142" s="41"/>
      <c r="K142" s="42"/>
      <c r="L142" s="44"/>
    </row>
    <row r="143" spans="10:12" x14ac:dyDescent="0.25">
      <c r="J143" s="41"/>
      <c r="K143" s="42"/>
      <c r="L143" s="44"/>
    </row>
    <row r="144" spans="10:12" x14ac:dyDescent="0.25">
      <c r="J144" s="41"/>
      <c r="K144" s="42"/>
      <c r="L144" s="44"/>
    </row>
    <row r="145" spans="10:12" x14ac:dyDescent="0.25">
      <c r="J145" s="41"/>
      <c r="K145" s="42"/>
      <c r="L145" s="44"/>
    </row>
    <row r="146" spans="10:12" x14ac:dyDescent="0.25">
      <c r="J146" s="41"/>
      <c r="K146" s="42"/>
      <c r="L146" s="44"/>
    </row>
    <row r="147" spans="10:12" x14ac:dyDescent="0.25">
      <c r="J147" s="41"/>
      <c r="K147" s="42"/>
      <c r="L147" s="44"/>
    </row>
    <row r="148" spans="10:12" x14ac:dyDescent="0.25">
      <c r="J148" s="41"/>
      <c r="K148" s="42"/>
      <c r="L148" s="44"/>
    </row>
    <row r="149" spans="10:12" x14ac:dyDescent="0.25">
      <c r="J149" s="41"/>
      <c r="K149" s="42"/>
      <c r="L149" s="44"/>
    </row>
    <row r="150" spans="10:12" x14ac:dyDescent="0.25">
      <c r="J150" s="41"/>
      <c r="K150" s="42"/>
      <c r="L150" s="44"/>
    </row>
    <row r="151" spans="10:12" x14ac:dyDescent="0.25">
      <c r="J151" s="41"/>
      <c r="K151" s="42"/>
      <c r="L151" s="44"/>
    </row>
    <row r="152" spans="10:12" x14ac:dyDescent="0.25">
      <c r="J152" s="41"/>
      <c r="K152" s="42"/>
      <c r="L152" s="44"/>
    </row>
    <row r="153" spans="10:12" x14ac:dyDescent="0.25">
      <c r="J153" s="41"/>
      <c r="K153" s="42"/>
      <c r="L153" s="44"/>
    </row>
    <row r="154" spans="10:12" x14ac:dyDescent="0.25">
      <c r="J154" s="41"/>
      <c r="K154" s="42"/>
      <c r="L154" s="44"/>
    </row>
    <row r="155" spans="10:12" x14ac:dyDescent="0.25">
      <c r="J155" s="41"/>
      <c r="K155" s="42"/>
      <c r="L155" s="44"/>
    </row>
    <row r="156" spans="10:12" x14ac:dyDescent="0.25">
      <c r="J156" s="41"/>
      <c r="K156" s="42"/>
      <c r="L156" s="44"/>
    </row>
    <row r="157" spans="10:12" x14ac:dyDescent="0.25">
      <c r="J157" s="41"/>
      <c r="K157" s="42"/>
      <c r="L157" s="44"/>
    </row>
    <row r="158" spans="10:12" x14ac:dyDescent="0.25">
      <c r="J158" s="41"/>
      <c r="K158" s="42"/>
      <c r="L158" s="44"/>
    </row>
    <row r="159" spans="10:12" x14ac:dyDescent="0.25">
      <c r="J159" s="41"/>
      <c r="K159" s="42"/>
      <c r="L159" s="44"/>
    </row>
    <row r="160" spans="10:12" x14ac:dyDescent="0.25">
      <c r="J160" s="41"/>
      <c r="K160" s="42"/>
      <c r="L160" s="44"/>
    </row>
    <row r="161" spans="10:12" x14ac:dyDescent="0.25">
      <c r="J161" s="41"/>
      <c r="K161" s="42"/>
      <c r="L161" s="44"/>
    </row>
    <row r="162" spans="10:12" x14ac:dyDescent="0.25">
      <c r="J162" s="41"/>
      <c r="K162" s="42"/>
      <c r="L162" s="44"/>
    </row>
    <row r="163" spans="10:12" x14ac:dyDescent="0.25">
      <c r="J163" s="41"/>
      <c r="K163" s="42"/>
      <c r="L163" s="44"/>
    </row>
    <row r="164" spans="10:12" x14ac:dyDescent="0.25">
      <c r="J164" s="41"/>
      <c r="K164" s="42"/>
      <c r="L164" s="44"/>
    </row>
    <row r="165" spans="10:12" x14ac:dyDescent="0.25">
      <c r="J165" s="41"/>
      <c r="K165" s="42"/>
      <c r="L165" s="44"/>
    </row>
    <row r="166" spans="10:12" x14ac:dyDescent="0.25">
      <c r="J166" s="41"/>
      <c r="K166" s="42"/>
      <c r="L166" s="44"/>
    </row>
    <row r="167" spans="10:12" x14ac:dyDescent="0.25">
      <c r="J167" s="41"/>
      <c r="K167" s="42"/>
      <c r="L167" s="44"/>
    </row>
    <row r="168" spans="10:12" x14ac:dyDescent="0.25">
      <c r="J168" s="41"/>
      <c r="K168" s="42"/>
      <c r="L168" s="44"/>
    </row>
    <row r="169" spans="10:12" x14ac:dyDescent="0.25">
      <c r="J169" s="41"/>
      <c r="K169" s="42"/>
      <c r="L169" s="44"/>
    </row>
    <row r="170" spans="10:12" x14ac:dyDescent="0.25">
      <c r="J170" s="41"/>
      <c r="K170" s="42"/>
      <c r="L170" s="44"/>
    </row>
    <row r="171" spans="10:12" x14ac:dyDescent="0.25">
      <c r="J171" s="41"/>
      <c r="K171" s="42"/>
      <c r="L171" s="44"/>
    </row>
    <row r="172" spans="10:12" x14ac:dyDescent="0.25">
      <c r="J172" s="41"/>
      <c r="K172" s="42"/>
      <c r="L172" s="44"/>
    </row>
    <row r="173" spans="10:12" x14ac:dyDescent="0.25">
      <c r="J173" s="41"/>
      <c r="K173" s="42"/>
      <c r="L173" s="44"/>
    </row>
    <row r="174" spans="10:12" x14ac:dyDescent="0.25">
      <c r="J174" s="41"/>
      <c r="K174" s="42"/>
      <c r="L174" s="44"/>
    </row>
    <row r="175" spans="10:12" x14ac:dyDescent="0.25">
      <c r="J175" s="41"/>
      <c r="K175" s="42"/>
      <c r="L175" s="44"/>
    </row>
    <row r="176" spans="10:12" x14ac:dyDescent="0.25">
      <c r="J176" s="41"/>
      <c r="K176" s="42"/>
      <c r="L176" s="44"/>
    </row>
    <row r="177" spans="10:12" x14ac:dyDescent="0.25">
      <c r="J177" s="41"/>
      <c r="K177" s="42"/>
      <c r="L177" s="44"/>
    </row>
    <row r="178" spans="10:12" x14ac:dyDescent="0.25">
      <c r="J178" s="41"/>
      <c r="K178" s="42"/>
      <c r="L178" s="44"/>
    </row>
    <row r="179" spans="10:12" x14ac:dyDescent="0.25">
      <c r="J179" s="41"/>
      <c r="K179" s="42"/>
      <c r="L179" s="44"/>
    </row>
    <row r="180" spans="10:12" x14ac:dyDescent="0.25">
      <c r="J180" s="41"/>
      <c r="K180" s="42"/>
      <c r="L180" s="44"/>
    </row>
    <row r="181" spans="10:12" x14ac:dyDescent="0.25">
      <c r="J181" s="41"/>
      <c r="K181" s="42"/>
      <c r="L181" s="44"/>
    </row>
    <row r="182" spans="10:12" x14ac:dyDescent="0.25">
      <c r="J182" s="41"/>
      <c r="K182" s="42"/>
      <c r="L182" s="44"/>
    </row>
    <row r="183" spans="10:12" x14ac:dyDescent="0.25">
      <c r="J183" s="41"/>
      <c r="K183" s="42"/>
      <c r="L183" s="44"/>
    </row>
    <row r="184" spans="10:12" x14ac:dyDescent="0.25">
      <c r="J184" s="41"/>
      <c r="K184" s="42"/>
      <c r="L184" s="44"/>
    </row>
    <row r="185" spans="10:12" x14ac:dyDescent="0.25">
      <c r="J185" s="41"/>
      <c r="K185" s="42"/>
      <c r="L185" s="44"/>
    </row>
    <row r="186" spans="10:12" x14ac:dyDescent="0.25">
      <c r="J186" s="41"/>
      <c r="K186" s="42"/>
      <c r="L186" s="44"/>
    </row>
    <row r="187" spans="10:12" x14ac:dyDescent="0.25">
      <c r="J187" s="41"/>
      <c r="K187" s="42"/>
      <c r="L187" s="44"/>
    </row>
    <row r="188" spans="10:12" x14ac:dyDescent="0.25">
      <c r="J188" s="41"/>
      <c r="K188" s="42"/>
      <c r="L188" s="44"/>
    </row>
    <row r="189" spans="10:12" x14ac:dyDescent="0.25">
      <c r="J189" s="41"/>
      <c r="K189" s="42"/>
      <c r="L189" s="44"/>
    </row>
    <row r="190" spans="10:12" x14ac:dyDescent="0.25">
      <c r="J190" s="41"/>
      <c r="K190" s="42"/>
      <c r="L190" s="44"/>
    </row>
    <row r="191" spans="10:12" x14ac:dyDescent="0.25">
      <c r="J191" s="41"/>
      <c r="K191" s="42"/>
      <c r="L191" s="44"/>
    </row>
    <row r="192" spans="10:12" x14ac:dyDescent="0.25">
      <c r="J192" s="41"/>
      <c r="K192" s="42"/>
      <c r="L192" s="44"/>
    </row>
    <row r="193" spans="10:12" x14ac:dyDescent="0.25">
      <c r="J193" s="41"/>
      <c r="K193" s="42"/>
      <c r="L193" s="44"/>
    </row>
    <row r="194" spans="10:12" x14ac:dyDescent="0.25">
      <c r="J194" s="41"/>
      <c r="K194" s="42"/>
      <c r="L194" s="44"/>
    </row>
    <row r="195" spans="10:12" x14ac:dyDescent="0.25">
      <c r="J195" s="41"/>
      <c r="K195" s="42"/>
      <c r="L195" s="44"/>
    </row>
    <row r="196" spans="10:12" x14ac:dyDescent="0.25">
      <c r="J196" s="41"/>
      <c r="K196" s="42"/>
      <c r="L196" s="44"/>
    </row>
    <row r="197" spans="10:12" x14ac:dyDescent="0.25">
      <c r="J197" s="41"/>
      <c r="K197" s="42"/>
      <c r="L197" s="44"/>
    </row>
    <row r="198" spans="10:12" x14ac:dyDescent="0.25">
      <c r="J198" s="41"/>
      <c r="K198" s="42"/>
      <c r="L198" s="44"/>
    </row>
    <row r="199" spans="10:12" x14ac:dyDescent="0.25">
      <c r="J199" s="41"/>
      <c r="K199" s="42"/>
      <c r="L199" s="44"/>
    </row>
    <row r="200" spans="10:12" x14ac:dyDescent="0.25">
      <c r="J200" s="41"/>
      <c r="K200" s="42"/>
      <c r="L200" s="44"/>
    </row>
    <row r="201" spans="10:12" x14ac:dyDescent="0.25">
      <c r="J201" s="41"/>
      <c r="K201" s="42"/>
      <c r="L201" s="44"/>
    </row>
    <row r="202" spans="10:12" x14ac:dyDescent="0.25">
      <c r="J202" s="41"/>
      <c r="K202" s="42"/>
      <c r="L202" s="44"/>
    </row>
    <row r="203" spans="10:12" x14ac:dyDescent="0.25">
      <c r="J203" s="41"/>
      <c r="K203" s="42"/>
      <c r="L203" s="44"/>
    </row>
    <row r="204" spans="10:12" x14ac:dyDescent="0.25">
      <c r="J204" s="41"/>
      <c r="K204" s="42"/>
      <c r="L204" s="44"/>
    </row>
    <row r="205" spans="10:12" x14ac:dyDescent="0.25">
      <c r="J205" s="41"/>
      <c r="K205" s="42"/>
      <c r="L205" s="44"/>
    </row>
    <row r="206" spans="10:12" x14ac:dyDescent="0.25">
      <c r="J206" s="41"/>
      <c r="K206" s="42"/>
      <c r="L206" s="44"/>
    </row>
    <row r="207" spans="10:12" x14ac:dyDescent="0.25">
      <c r="J207" s="41"/>
      <c r="K207" s="42"/>
      <c r="L207" s="44"/>
    </row>
    <row r="208" spans="10:12" x14ac:dyDescent="0.25">
      <c r="J208" s="41"/>
      <c r="K208" s="42"/>
      <c r="L208" s="44"/>
    </row>
    <row r="209" spans="10:12" x14ac:dyDescent="0.25">
      <c r="J209" s="41"/>
      <c r="K209" s="42"/>
      <c r="L209" s="44"/>
    </row>
    <row r="210" spans="10:12" x14ac:dyDescent="0.25">
      <c r="J210" s="41"/>
      <c r="K210" s="42"/>
      <c r="L210" s="44"/>
    </row>
    <row r="211" spans="10:12" x14ac:dyDescent="0.25">
      <c r="J211" s="41"/>
      <c r="K211" s="42"/>
      <c r="L211" s="44"/>
    </row>
    <row r="212" spans="10:12" x14ac:dyDescent="0.25">
      <c r="J212" s="41"/>
      <c r="K212" s="42"/>
      <c r="L212" s="44"/>
    </row>
    <row r="213" spans="10:12" x14ac:dyDescent="0.25">
      <c r="J213" s="41"/>
      <c r="K213" s="42"/>
      <c r="L213" s="44"/>
    </row>
    <row r="214" spans="10:12" x14ac:dyDescent="0.25">
      <c r="J214" s="41"/>
      <c r="K214" s="42"/>
      <c r="L214" s="44"/>
    </row>
    <row r="215" spans="10:12" x14ac:dyDescent="0.25">
      <c r="J215" s="41"/>
      <c r="K215" s="42"/>
      <c r="L215" s="44"/>
    </row>
    <row r="216" spans="10:12" x14ac:dyDescent="0.25">
      <c r="J216" s="41"/>
      <c r="K216" s="42"/>
      <c r="L216" s="44"/>
    </row>
    <row r="217" spans="10:12" x14ac:dyDescent="0.25">
      <c r="J217" s="41"/>
      <c r="K217" s="42"/>
      <c r="L217" s="44"/>
    </row>
    <row r="218" spans="10:12" x14ac:dyDescent="0.25">
      <c r="J218" s="41"/>
      <c r="K218" s="42"/>
      <c r="L218" s="44"/>
    </row>
    <row r="219" spans="10:12" x14ac:dyDescent="0.25">
      <c r="J219" s="41"/>
      <c r="K219" s="42"/>
      <c r="L219" s="44"/>
    </row>
    <row r="220" spans="10:12" x14ac:dyDescent="0.25">
      <c r="J220" s="41"/>
      <c r="K220" s="42"/>
      <c r="L220" s="44"/>
    </row>
    <row r="221" spans="10:12" x14ac:dyDescent="0.25">
      <c r="J221" s="41"/>
      <c r="K221" s="42"/>
      <c r="L221" s="44"/>
    </row>
    <row r="222" spans="10:12" x14ac:dyDescent="0.25">
      <c r="J222" s="41"/>
      <c r="K222" s="42"/>
      <c r="L222" s="44"/>
    </row>
    <row r="223" spans="10:12" x14ac:dyDescent="0.25">
      <c r="J223" s="41"/>
      <c r="K223" s="42"/>
      <c r="L223" s="44"/>
    </row>
    <row r="224" spans="10:12" x14ac:dyDescent="0.25">
      <c r="J224" s="41"/>
      <c r="K224" s="42"/>
      <c r="L224" s="44"/>
    </row>
    <row r="225" spans="10:12" x14ac:dyDescent="0.25">
      <c r="J225" s="41"/>
      <c r="K225" s="42"/>
      <c r="L225" s="44"/>
    </row>
    <row r="226" spans="10:12" x14ac:dyDescent="0.25">
      <c r="J226" s="41"/>
      <c r="K226" s="42"/>
      <c r="L226" s="44"/>
    </row>
    <row r="227" spans="10:12" x14ac:dyDescent="0.25">
      <c r="J227" s="41"/>
      <c r="K227" s="42"/>
      <c r="L227" s="44"/>
    </row>
    <row r="228" spans="10:12" x14ac:dyDescent="0.25">
      <c r="J228" s="41"/>
      <c r="K228" s="42"/>
      <c r="L228" s="44"/>
    </row>
    <row r="229" spans="10:12" x14ac:dyDescent="0.25">
      <c r="J229" s="41"/>
      <c r="K229" s="42"/>
      <c r="L229" s="44"/>
    </row>
    <row r="230" spans="10:12" x14ac:dyDescent="0.25">
      <c r="J230" s="41"/>
      <c r="K230" s="42"/>
      <c r="L230" s="44"/>
    </row>
    <row r="231" spans="10:12" x14ac:dyDescent="0.25">
      <c r="J231" s="41"/>
      <c r="K231" s="42"/>
      <c r="L231" s="44"/>
    </row>
    <row r="232" spans="10:12" x14ac:dyDescent="0.25">
      <c r="J232" s="41"/>
      <c r="K232" s="42"/>
      <c r="L232" s="44"/>
    </row>
    <row r="233" spans="10:12" x14ac:dyDescent="0.25">
      <c r="J233" s="41"/>
      <c r="K233" s="42"/>
      <c r="L233" s="44"/>
    </row>
    <row r="234" spans="10:12" x14ac:dyDescent="0.25">
      <c r="J234" s="41"/>
      <c r="K234" s="42"/>
      <c r="L234" s="44"/>
    </row>
    <row r="235" spans="10:12" x14ac:dyDescent="0.25">
      <c r="J235" s="41"/>
      <c r="K235" s="42"/>
      <c r="L235" s="44"/>
    </row>
    <row r="236" spans="10:12" x14ac:dyDescent="0.25">
      <c r="J236" s="41"/>
      <c r="K236" s="42"/>
      <c r="L236" s="44"/>
    </row>
    <row r="237" spans="10:12" x14ac:dyDescent="0.25">
      <c r="J237" s="41"/>
      <c r="K237" s="42"/>
      <c r="L237" s="44"/>
    </row>
    <row r="238" spans="10:12" x14ac:dyDescent="0.25">
      <c r="J238" s="41"/>
      <c r="K238" s="42"/>
      <c r="L238" s="44"/>
    </row>
    <row r="239" spans="10:12" x14ac:dyDescent="0.25">
      <c r="J239" s="41"/>
      <c r="K239" s="42"/>
      <c r="L239" s="44"/>
    </row>
    <row r="240" spans="10:12" x14ac:dyDescent="0.25">
      <c r="J240" s="41"/>
      <c r="K240" s="42"/>
      <c r="L240" s="44"/>
    </row>
    <row r="241" spans="10:12" x14ac:dyDescent="0.25">
      <c r="J241" s="41"/>
      <c r="K241" s="42"/>
      <c r="L241" s="44"/>
    </row>
    <row r="242" spans="10:12" x14ac:dyDescent="0.25">
      <c r="J242" s="41"/>
      <c r="K242" s="42"/>
      <c r="L242" s="44"/>
    </row>
    <row r="243" spans="10:12" x14ac:dyDescent="0.25">
      <c r="J243" s="41"/>
      <c r="K243" s="42"/>
      <c r="L243" s="44"/>
    </row>
    <row r="244" spans="10:12" x14ac:dyDescent="0.25">
      <c r="J244" s="41"/>
      <c r="K244" s="42"/>
      <c r="L244" s="44"/>
    </row>
    <row r="245" spans="10:12" x14ac:dyDescent="0.25">
      <c r="J245" s="41"/>
      <c r="K245" s="42"/>
      <c r="L245" s="44"/>
    </row>
    <row r="246" spans="10:12" x14ac:dyDescent="0.25">
      <c r="J246" s="41"/>
      <c r="K246" s="42"/>
      <c r="L246" s="44"/>
    </row>
    <row r="247" spans="10:12" x14ac:dyDescent="0.25">
      <c r="J247" s="41"/>
      <c r="K247" s="42"/>
      <c r="L247" s="44"/>
    </row>
    <row r="248" spans="10:12" x14ac:dyDescent="0.25">
      <c r="J248" s="41"/>
      <c r="K248" s="42"/>
      <c r="L248" s="44"/>
    </row>
    <row r="249" spans="10:12" x14ac:dyDescent="0.25">
      <c r="J249" s="41"/>
      <c r="K249" s="42"/>
      <c r="L249" s="44"/>
    </row>
    <row r="250" spans="10:12" x14ac:dyDescent="0.25">
      <c r="J250" s="41"/>
      <c r="K250" s="42"/>
      <c r="L250" s="44"/>
    </row>
    <row r="251" spans="10:12" x14ac:dyDescent="0.25">
      <c r="J251" s="41"/>
      <c r="K251" s="42"/>
      <c r="L251" s="44"/>
    </row>
    <row r="252" spans="10:12" x14ac:dyDescent="0.25">
      <c r="J252" s="41"/>
      <c r="K252" s="42"/>
      <c r="L252" s="44"/>
    </row>
    <row r="253" spans="10:12" x14ac:dyDescent="0.25">
      <c r="J253" s="41"/>
      <c r="K253" s="42"/>
      <c r="L253" s="44"/>
    </row>
    <row r="254" spans="10:12" x14ac:dyDescent="0.25">
      <c r="J254" s="41"/>
      <c r="K254" s="42"/>
      <c r="L254" s="44"/>
    </row>
    <row r="255" spans="10:12" x14ac:dyDescent="0.25">
      <c r="J255" s="41"/>
      <c r="K255" s="42"/>
      <c r="L255" s="44"/>
    </row>
    <row r="256" spans="10:12" x14ac:dyDescent="0.25">
      <c r="J256" s="41"/>
      <c r="K256" s="42"/>
      <c r="L256" s="44"/>
    </row>
    <row r="257" spans="10:12" x14ac:dyDescent="0.25">
      <c r="J257" s="41"/>
      <c r="K257" s="42"/>
      <c r="L257" s="44"/>
    </row>
    <row r="258" spans="10:12" x14ac:dyDescent="0.25">
      <c r="J258" s="41"/>
      <c r="K258" s="42"/>
      <c r="L258" s="44"/>
    </row>
    <row r="259" spans="10:12" x14ac:dyDescent="0.25">
      <c r="J259" s="41"/>
      <c r="K259" s="42"/>
      <c r="L259" s="44"/>
    </row>
    <row r="260" spans="10:12" x14ac:dyDescent="0.25">
      <c r="J260" s="41"/>
      <c r="K260" s="42"/>
      <c r="L260" s="44"/>
    </row>
    <row r="261" spans="10:12" x14ac:dyDescent="0.25">
      <c r="J261" s="41"/>
      <c r="K261" s="42"/>
      <c r="L261" s="44"/>
    </row>
    <row r="262" spans="10:12" x14ac:dyDescent="0.25">
      <c r="J262" s="41"/>
      <c r="K262" s="42"/>
      <c r="L262" s="44"/>
    </row>
    <row r="263" spans="10:12" x14ac:dyDescent="0.25">
      <c r="J263" s="41"/>
      <c r="K263" s="42"/>
      <c r="L263" s="44"/>
    </row>
    <row r="264" spans="10:12" x14ac:dyDescent="0.25">
      <c r="J264" s="41"/>
      <c r="K264" s="42"/>
      <c r="L264" s="44"/>
    </row>
    <row r="265" spans="10:12" x14ac:dyDescent="0.25">
      <c r="J265" s="41"/>
      <c r="K265" s="42"/>
      <c r="L265" s="44"/>
    </row>
    <row r="266" spans="10:12" x14ac:dyDescent="0.25">
      <c r="J266" s="41"/>
      <c r="K266" s="42"/>
      <c r="L266" s="44"/>
    </row>
    <row r="267" spans="10:12" x14ac:dyDescent="0.25">
      <c r="J267" s="41"/>
      <c r="K267" s="42"/>
      <c r="L267" s="44"/>
    </row>
    <row r="268" spans="10:12" x14ac:dyDescent="0.25">
      <c r="J268" s="41"/>
      <c r="K268" s="42"/>
      <c r="L268" s="44"/>
    </row>
    <row r="269" spans="10:12" x14ac:dyDescent="0.25">
      <c r="J269" s="41"/>
      <c r="K269" s="42"/>
      <c r="L269" s="44"/>
    </row>
    <row r="270" spans="10:12" x14ac:dyDescent="0.25">
      <c r="J270" s="41"/>
      <c r="K270" s="42"/>
      <c r="L270" s="44"/>
    </row>
    <row r="271" spans="10:12" x14ac:dyDescent="0.25">
      <c r="J271" s="41"/>
      <c r="K271" s="42"/>
      <c r="L271" s="44"/>
    </row>
    <row r="272" spans="10:12" x14ac:dyDescent="0.25">
      <c r="J272" s="41"/>
      <c r="K272" s="42"/>
      <c r="L272" s="44"/>
    </row>
    <row r="273" spans="10:12" x14ac:dyDescent="0.25">
      <c r="J273" s="41"/>
      <c r="K273" s="42"/>
      <c r="L273" s="44"/>
    </row>
    <row r="274" spans="10:12" x14ac:dyDescent="0.25">
      <c r="J274" s="41"/>
      <c r="K274" s="42"/>
      <c r="L274" s="44"/>
    </row>
    <row r="275" spans="10:12" x14ac:dyDescent="0.25">
      <c r="J275" s="41"/>
      <c r="K275" s="42"/>
      <c r="L275" s="44"/>
    </row>
    <row r="276" spans="10:12" x14ac:dyDescent="0.25">
      <c r="J276" s="41"/>
      <c r="K276" s="42"/>
      <c r="L276" s="44"/>
    </row>
    <row r="277" spans="10:12" x14ac:dyDescent="0.25">
      <c r="J277" s="41"/>
      <c r="K277" s="42"/>
      <c r="L277" s="44"/>
    </row>
    <row r="278" spans="10:12" x14ac:dyDescent="0.25">
      <c r="J278" s="41"/>
      <c r="K278" s="42"/>
      <c r="L278" s="44"/>
    </row>
    <row r="279" spans="10:12" x14ac:dyDescent="0.25">
      <c r="J279" s="41"/>
      <c r="K279" s="42"/>
      <c r="L279" s="44"/>
    </row>
    <row r="280" spans="10:12" x14ac:dyDescent="0.25">
      <c r="J280" s="41"/>
      <c r="K280" s="42"/>
      <c r="L280" s="44"/>
    </row>
    <row r="281" spans="10:12" x14ac:dyDescent="0.25">
      <c r="J281" s="41"/>
      <c r="K281" s="42"/>
      <c r="L281" s="44"/>
    </row>
    <row r="282" spans="10:12" x14ac:dyDescent="0.25">
      <c r="J282" s="41"/>
      <c r="K282" s="42"/>
      <c r="L282" s="44"/>
    </row>
    <row r="283" spans="10:12" x14ac:dyDescent="0.25">
      <c r="J283" s="41"/>
      <c r="K283" s="42"/>
      <c r="L283" s="44"/>
    </row>
    <row r="284" spans="10:12" x14ac:dyDescent="0.25">
      <c r="J284" s="41"/>
      <c r="K284" s="42"/>
      <c r="L284" s="44"/>
    </row>
    <row r="285" spans="10:12" x14ac:dyDescent="0.25">
      <c r="J285" s="41"/>
      <c r="K285" s="42"/>
      <c r="L285" s="44"/>
    </row>
    <row r="286" spans="10:12" x14ac:dyDescent="0.25">
      <c r="J286" s="41"/>
      <c r="K286" s="42"/>
      <c r="L286" s="44"/>
    </row>
    <row r="287" spans="10:12" x14ac:dyDescent="0.25">
      <c r="J287" s="41"/>
      <c r="K287" s="42"/>
      <c r="L287" s="44"/>
    </row>
    <row r="288" spans="10:12" x14ac:dyDescent="0.25">
      <c r="J288" s="41"/>
      <c r="K288" s="42"/>
      <c r="L288" s="44"/>
    </row>
    <row r="289" spans="10:12" x14ac:dyDescent="0.25">
      <c r="J289" s="41"/>
      <c r="K289" s="42"/>
      <c r="L289" s="44"/>
    </row>
    <row r="290" spans="10:12" x14ac:dyDescent="0.25">
      <c r="J290" s="41"/>
      <c r="K290" s="42"/>
      <c r="L290" s="44"/>
    </row>
    <row r="291" spans="10:12" x14ac:dyDescent="0.25">
      <c r="J291" s="41"/>
      <c r="K291" s="42"/>
      <c r="L291" s="44"/>
    </row>
    <row r="292" spans="10:12" x14ac:dyDescent="0.25">
      <c r="J292" s="41"/>
      <c r="K292" s="42"/>
      <c r="L292" s="44"/>
    </row>
    <row r="293" spans="10:12" x14ac:dyDescent="0.25">
      <c r="J293" s="41"/>
      <c r="K293" s="42"/>
      <c r="L293" s="44"/>
    </row>
    <row r="294" spans="10:12" x14ac:dyDescent="0.25">
      <c r="J294" s="41"/>
      <c r="K294" s="42"/>
      <c r="L294" s="44"/>
    </row>
    <row r="295" spans="10:12" x14ac:dyDescent="0.25">
      <c r="J295" s="41"/>
      <c r="K295" s="42"/>
      <c r="L295" s="44"/>
    </row>
    <row r="296" spans="10:12" x14ac:dyDescent="0.25">
      <c r="J296" s="41"/>
      <c r="K296" s="42"/>
      <c r="L296" s="44"/>
    </row>
    <row r="297" spans="10:12" x14ac:dyDescent="0.25">
      <c r="J297" s="41"/>
      <c r="K297" s="42"/>
      <c r="L297" s="44"/>
    </row>
    <row r="298" spans="10:12" x14ac:dyDescent="0.25">
      <c r="J298" s="41"/>
      <c r="K298" s="42"/>
      <c r="L298" s="44"/>
    </row>
  </sheetData>
  <sheetProtection sheet="1" objects="1" scenarios="1"/>
  <mergeCells count="10">
    <mergeCell ref="H1:H2"/>
    <mergeCell ref="J1:M1"/>
    <mergeCell ref="N1:N2"/>
    <mergeCell ref="O1:O2"/>
    <mergeCell ref="A1:A2"/>
    <mergeCell ref="B1:B2"/>
    <mergeCell ref="C1:C2"/>
    <mergeCell ref="E1:E2"/>
    <mergeCell ref="F1:F2"/>
    <mergeCell ref="G1:G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4948E-B139-4A30-8306-F9DACF97D921}">
  <sheetPr codeName="Planilha2"/>
  <dimension ref="A1:A284"/>
  <sheetViews>
    <sheetView workbookViewId="0">
      <pane xSplit="1" topLeftCell="B1" activePane="topRight" state="frozen"/>
      <selection pane="topRight" activeCell="C4" sqref="C4"/>
    </sheetView>
  </sheetViews>
  <sheetFormatPr defaultRowHeight="15" x14ac:dyDescent="0.25"/>
  <cols>
    <col min="1" max="1" width="15" style="2" customWidth="1"/>
  </cols>
  <sheetData>
    <row r="1" spans="1:1" x14ac:dyDescent="0.25">
      <c r="A1" s="63" t="s">
        <v>0</v>
      </c>
    </row>
    <row r="2" spans="1:1" x14ac:dyDescent="0.25">
      <c r="A2" s="64"/>
    </row>
    <row r="3" spans="1:1" x14ac:dyDescent="0.25">
      <c r="A3" s="1" t="e">
        <f>SMD!#REF!</f>
        <v>#REF!</v>
      </c>
    </row>
    <row r="4" spans="1:1" x14ac:dyDescent="0.25">
      <c r="A4" s="1" t="str">
        <f>SMD!A3</f>
        <v>Cap 100nF/50v</v>
      </c>
    </row>
    <row r="5" spans="1:1" x14ac:dyDescent="0.25">
      <c r="A5" s="1" t="e">
        <f>SMD!#REF!</f>
        <v>#REF!</v>
      </c>
    </row>
    <row r="6" spans="1:1" x14ac:dyDescent="0.25">
      <c r="A6" s="1">
        <f>SMD!A8</f>
        <v>0</v>
      </c>
    </row>
    <row r="7" spans="1:1" x14ac:dyDescent="0.25">
      <c r="A7" s="1">
        <f>SMD!A9</f>
        <v>0</v>
      </c>
    </row>
    <row r="8" spans="1:1" x14ac:dyDescent="0.25">
      <c r="A8" s="1">
        <f>SMD!A10</f>
        <v>0</v>
      </c>
    </row>
    <row r="9" spans="1:1" x14ac:dyDescent="0.25">
      <c r="A9" s="1">
        <f>SMD!A11</f>
        <v>0</v>
      </c>
    </row>
    <row r="10" spans="1:1" x14ac:dyDescent="0.25">
      <c r="A10" s="1">
        <f>SMD!A12</f>
        <v>0</v>
      </c>
    </row>
    <row r="11" spans="1:1" x14ac:dyDescent="0.25">
      <c r="A11" s="1">
        <f>SMD!A13</f>
        <v>0</v>
      </c>
    </row>
    <row r="12" spans="1:1" x14ac:dyDescent="0.25">
      <c r="A12" s="1">
        <f>SMD!A14</f>
        <v>0</v>
      </c>
    </row>
    <row r="13" spans="1:1" x14ac:dyDescent="0.25">
      <c r="A13" s="1">
        <f>SMD!A15</f>
        <v>0</v>
      </c>
    </row>
    <row r="14" spans="1:1" x14ac:dyDescent="0.25">
      <c r="A14" s="1">
        <f>SMD!A16</f>
        <v>0</v>
      </c>
    </row>
    <row r="15" spans="1:1" x14ac:dyDescent="0.25">
      <c r="A15" s="1">
        <f>SMD!A17</f>
        <v>0</v>
      </c>
    </row>
    <row r="16" spans="1:1" x14ac:dyDescent="0.25">
      <c r="A16" s="1">
        <f>SMD!A18</f>
        <v>0</v>
      </c>
    </row>
    <row r="17" spans="1:1" x14ac:dyDescent="0.25">
      <c r="A17" s="1">
        <f>SMD!A19</f>
        <v>0</v>
      </c>
    </row>
    <row r="18" spans="1:1" x14ac:dyDescent="0.25">
      <c r="A18" s="1">
        <f>SMD!A20</f>
        <v>0</v>
      </c>
    </row>
    <row r="19" spans="1:1" x14ac:dyDescent="0.25">
      <c r="A19" s="1">
        <f>SMD!A21</f>
        <v>0</v>
      </c>
    </row>
    <row r="20" spans="1:1" x14ac:dyDescent="0.25">
      <c r="A20" s="1">
        <f>SMD!A22</f>
        <v>0</v>
      </c>
    </row>
    <row r="21" spans="1:1" x14ac:dyDescent="0.25">
      <c r="A21" s="1">
        <f>SMD!A23</f>
        <v>0</v>
      </c>
    </row>
    <row r="22" spans="1:1" x14ac:dyDescent="0.25">
      <c r="A22" s="1">
        <f>SMD!A24</f>
        <v>0</v>
      </c>
    </row>
    <row r="23" spans="1:1" x14ac:dyDescent="0.25">
      <c r="A23" s="1">
        <f>SMD!A25</f>
        <v>0</v>
      </c>
    </row>
    <row r="24" spans="1:1" x14ac:dyDescent="0.25">
      <c r="A24" s="1">
        <f>SMD!A26</f>
        <v>0</v>
      </c>
    </row>
    <row r="25" spans="1:1" x14ac:dyDescent="0.25">
      <c r="A25" s="1">
        <f>SMD!A27</f>
        <v>0</v>
      </c>
    </row>
    <row r="26" spans="1:1" x14ac:dyDescent="0.25">
      <c r="A26" s="1">
        <f>SMD!A28</f>
        <v>0</v>
      </c>
    </row>
    <row r="27" spans="1:1" x14ac:dyDescent="0.25">
      <c r="A27" s="1">
        <f>SMD!A29</f>
        <v>0</v>
      </c>
    </row>
    <row r="28" spans="1:1" x14ac:dyDescent="0.25">
      <c r="A28" s="1">
        <f>SMD!A30</f>
        <v>0</v>
      </c>
    </row>
    <row r="29" spans="1:1" x14ac:dyDescent="0.25">
      <c r="A29" s="1">
        <f>SMD!A31</f>
        <v>0</v>
      </c>
    </row>
    <row r="30" spans="1:1" x14ac:dyDescent="0.25">
      <c r="A30" s="1">
        <f>SMD!A32</f>
        <v>0</v>
      </c>
    </row>
    <row r="31" spans="1:1" x14ac:dyDescent="0.25">
      <c r="A31" s="1">
        <f>SMD!A33</f>
        <v>0</v>
      </c>
    </row>
    <row r="32" spans="1:1" x14ac:dyDescent="0.25">
      <c r="A32" s="1">
        <f>SMD!A34</f>
        <v>0</v>
      </c>
    </row>
    <row r="33" spans="1:1" x14ac:dyDescent="0.25">
      <c r="A33" s="1">
        <f>SMD!A35</f>
        <v>0</v>
      </c>
    </row>
    <row r="34" spans="1:1" x14ac:dyDescent="0.25">
      <c r="A34" s="1">
        <f>SMD!A36</f>
        <v>0</v>
      </c>
    </row>
    <row r="35" spans="1:1" x14ac:dyDescent="0.25">
      <c r="A35" s="1">
        <f>SMD!A37</f>
        <v>0</v>
      </c>
    </row>
    <row r="36" spans="1:1" x14ac:dyDescent="0.25">
      <c r="A36" s="1">
        <f>SMD!A38</f>
        <v>0</v>
      </c>
    </row>
    <row r="37" spans="1:1" x14ac:dyDescent="0.25">
      <c r="A37" s="1">
        <f>SMD!A39</f>
        <v>0</v>
      </c>
    </row>
    <row r="38" spans="1:1" x14ac:dyDescent="0.25">
      <c r="A38" s="1">
        <f>SMD!A40</f>
        <v>0</v>
      </c>
    </row>
    <row r="39" spans="1:1" x14ac:dyDescent="0.25">
      <c r="A39" s="1">
        <f>SMD!A41</f>
        <v>0</v>
      </c>
    </row>
    <row r="40" spans="1:1" x14ac:dyDescent="0.25">
      <c r="A40" s="1">
        <f>SMD!A42</f>
        <v>0</v>
      </c>
    </row>
    <row r="41" spans="1:1" x14ac:dyDescent="0.25">
      <c r="A41" s="1">
        <f>SMD!A43</f>
        <v>0</v>
      </c>
    </row>
    <row r="42" spans="1:1" x14ac:dyDescent="0.25">
      <c r="A42" s="1">
        <f>SMD!A44</f>
        <v>0</v>
      </c>
    </row>
    <row r="43" spans="1:1" x14ac:dyDescent="0.25">
      <c r="A43" s="1">
        <f>SMD!A45</f>
        <v>0</v>
      </c>
    </row>
    <row r="44" spans="1:1" x14ac:dyDescent="0.25">
      <c r="A44" s="1">
        <f>SMD!A46</f>
        <v>0</v>
      </c>
    </row>
    <row r="45" spans="1:1" x14ac:dyDescent="0.25">
      <c r="A45" s="1">
        <f>SMD!A47</f>
        <v>0</v>
      </c>
    </row>
    <row r="46" spans="1:1" x14ac:dyDescent="0.25">
      <c r="A46" s="1">
        <f>SMD!A48</f>
        <v>0</v>
      </c>
    </row>
    <row r="47" spans="1:1" x14ac:dyDescent="0.25">
      <c r="A47" s="1">
        <f>SMD!A49</f>
        <v>0</v>
      </c>
    </row>
    <row r="48" spans="1:1" x14ac:dyDescent="0.25">
      <c r="A48" s="1">
        <f>SMD!A50</f>
        <v>0</v>
      </c>
    </row>
    <row r="49" spans="1:1" x14ac:dyDescent="0.25">
      <c r="A49" s="1">
        <f>SMD!A51</f>
        <v>0</v>
      </c>
    </row>
    <row r="50" spans="1:1" x14ac:dyDescent="0.25">
      <c r="A50" s="1">
        <f>SMD!A52</f>
        <v>0</v>
      </c>
    </row>
    <row r="51" spans="1:1" x14ac:dyDescent="0.25">
      <c r="A51" s="1">
        <f>SMD!A53</f>
        <v>0</v>
      </c>
    </row>
    <row r="52" spans="1:1" x14ac:dyDescent="0.25">
      <c r="A52" s="1">
        <f>SMD!A54</f>
        <v>0</v>
      </c>
    </row>
    <row r="53" spans="1:1" x14ac:dyDescent="0.25">
      <c r="A53" s="1">
        <f>SMD!A55</f>
        <v>0</v>
      </c>
    </row>
    <row r="54" spans="1:1" x14ac:dyDescent="0.25">
      <c r="A54" s="1">
        <f>SMD!A56</f>
        <v>0</v>
      </c>
    </row>
    <row r="55" spans="1:1" x14ac:dyDescent="0.25">
      <c r="A55" s="1">
        <f>SMD!A57</f>
        <v>0</v>
      </c>
    </row>
    <row r="56" spans="1:1" x14ac:dyDescent="0.25">
      <c r="A56" s="1">
        <f>SMD!A58</f>
        <v>0</v>
      </c>
    </row>
    <row r="57" spans="1:1" x14ac:dyDescent="0.25">
      <c r="A57" s="1">
        <f>SMD!A59</f>
        <v>0</v>
      </c>
    </row>
    <row r="58" spans="1:1" x14ac:dyDescent="0.25">
      <c r="A58" s="1">
        <f>SMD!A60</f>
        <v>0</v>
      </c>
    </row>
    <row r="59" spans="1:1" x14ac:dyDescent="0.25">
      <c r="A59" s="1">
        <f>SMD!A61</f>
        <v>0</v>
      </c>
    </row>
    <row r="60" spans="1:1" x14ac:dyDescent="0.25">
      <c r="A60" s="1">
        <f>SMD!A62</f>
        <v>0</v>
      </c>
    </row>
    <row r="61" spans="1:1" x14ac:dyDescent="0.25">
      <c r="A61" s="1">
        <f>SMD!A63</f>
        <v>0</v>
      </c>
    </row>
    <row r="62" spans="1:1" x14ac:dyDescent="0.25">
      <c r="A62" s="1">
        <f>SMD!A64</f>
        <v>0</v>
      </c>
    </row>
    <row r="63" spans="1:1" x14ac:dyDescent="0.25">
      <c r="A63" s="1">
        <f>SMD!A65</f>
        <v>0</v>
      </c>
    </row>
    <row r="64" spans="1:1" x14ac:dyDescent="0.25">
      <c r="A64" s="1">
        <f>SMD!A66</f>
        <v>0</v>
      </c>
    </row>
    <row r="65" spans="1:1" x14ac:dyDescent="0.25">
      <c r="A65" s="1">
        <f>SMD!A67</f>
        <v>0</v>
      </c>
    </row>
    <row r="66" spans="1:1" x14ac:dyDescent="0.25">
      <c r="A66" s="1">
        <f>SMD!A68</f>
        <v>0</v>
      </c>
    </row>
    <row r="67" spans="1:1" x14ac:dyDescent="0.25">
      <c r="A67" s="1">
        <f>SMD!A69</f>
        <v>0</v>
      </c>
    </row>
    <row r="68" spans="1:1" x14ac:dyDescent="0.25">
      <c r="A68" s="1">
        <f>SMD!A70</f>
        <v>0</v>
      </c>
    </row>
    <row r="69" spans="1:1" x14ac:dyDescent="0.25">
      <c r="A69" s="1">
        <f>SMD!A71</f>
        <v>0</v>
      </c>
    </row>
    <row r="70" spans="1:1" x14ac:dyDescent="0.25">
      <c r="A70" s="1">
        <f>SMD!A72</f>
        <v>0</v>
      </c>
    </row>
    <row r="71" spans="1:1" x14ac:dyDescent="0.25">
      <c r="A71" s="1">
        <f>SMD!A73</f>
        <v>0</v>
      </c>
    </row>
    <row r="72" spans="1:1" x14ac:dyDescent="0.25">
      <c r="A72" s="1">
        <f>SMD!A74</f>
        <v>0</v>
      </c>
    </row>
    <row r="73" spans="1:1" x14ac:dyDescent="0.25">
      <c r="A73" s="1">
        <f>SMD!A75</f>
        <v>0</v>
      </c>
    </row>
    <row r="74" spans="1:1" x14ac:dyDescent="0.25">
      <c r="A74" s="1">
        <f>SMD!A76</f>
        <v>0</v>
      </c>
    </row>
    <row r="75" spans="1:1" x14ac:dyDescent="0.25">
      <c r="A75" s="1">
        <f>SMD!A77</f>
        <v>0</v>
      </c>
    </row>
    <row r="76" spans="1:1" x14ac:dyDescent="0.25">
      <c r="A76" s="1">
        <f>SMD!A78</f>
        <v>0</v>
      </c>
    </row>
    <row r="77" spans="1:1" x14ac:dyDescent="0.25">
      <c r="A77" s="1">
        <f>SMD!A79</f>
        <v>0</v>
      </c>
    </row>
    <row r="78" spans="1:1" x14ac:dyDescent="0.25">
      <c r="A78" s="1">
        <f>SMD!A80</f>
        <v>0</v>
      </c>
    </row>
    <row r="79" spans="1:1" x14ac:dyDescent="0.25">
      <c r="A79" s="1">
        <f>SMD!A81</f>
        <v>0</v>
      </c>
    </row>
    <row r="80" spans="1:1" x14ac:dyDescent="0.25">
      <c r="A80" s="1">
        <f>SMD!A82</f>
        <v>0</v>
      </c>
    </row>
    <row r="81" spans="1:1" x14ac:dyDescent="0.25">
      <c r="A81" s="1">
        <f>SMD!A83</f>
        <v>0</v>
      </c>
    </row>
    <row r="82" spans="1:1" x14ac:dyDescent="0.25">
      <c r="A82" s="1">
        <f>SMD!A84</f>
        <v>0</v>
      </c>
    </row>
    <row r="83" spans="1:1" x14ac:dyDescent="0.25">
      <c r="A83" s="1">
        <f>SMD!A85</f>
        <v>0</v>
      </c>
    </row>
    <row r="84" spans="1:1" x14ac:dyDescent="0.25">
      <c r="A84" s="1">
        <f>SMD!A86</f>
        <v>0</v>
      </c>
    </row>
    <row r="85" spans="1:1" x14ac:dyDescent="0.25">
      <c r="A85" s="1">
        <f>SMD!A87</f>
        <v>0</v>
      </c>
    </row>
    <row r="86" spans="1:1" x14ac:dyDescent="0.25">
      <c r="A86" s="1">
        <f>SMD!A88</f>
        <v>0</v>
      </c>
    </row>
    <row r="87" spans="1:1" x14ac:dyDescent="0.25">
      <c r="A87" s="1">
        <f>SMD!A89</f>
        <v>0</v>
      </c>
    </row>
    <row r="88" spans="1:1" x14ac:dyDescent="0.25">
      <c r="A88" s="1">
        <f>SMD!A90</f>
        <v>0</v>
      </c>
    </row>
    <row r="89" spans="1:1" x14ac:dyDescent="0.25">
      <c r="A89" s="1">
        <f>SMD!A91</f>
        <v>0</v>
      </c>
    </row>
    <row r="90" spans="1:1" x14ac:dyDescent="0.25">
      <c r="A90" s="1">
        <f>SMD!A92</f>
        <v>0</v>
      </c>
    </row>
    <row r="91" spans="1:1" x14ac:dyDescent="0.25">
      <c r="A91" s="1">
        <f>SMD!A93</f>
        <v>0</v>
      </c>
    </row>
    <row r="92" spans="1:1" x14ac:dyDescent="0.25">
      <c r="A92" s="1">
        <f>SMD!A94</f>
        <v>0</v>
      </c>
    </row>
    <row r="93" spans="1:1" x14ac:dyDescent="0.25">
      <c r="A93" s="1">
        <f>SMD!A95</f>
        <v>0</v>
      </c>
    </row>
    <row r="94" spans="1:1" x14ac:dyDescent="0.25">
      <c r="A94" s="1">
        <f>SMD!A96</f>
        <v>0</v>
      </c>
    </row>
    <row r="95" spans="1:1" x14ac:dyDescent="0.25">
      <c r="A95" s="1">
        <f>SMD!A97</f>
        <v>0</v>
      </c>
    </row>
    <row r="96" spans="1:1" x14ac:dyDescent="0.25">
      <c r="A96" s="1">
        <f>SMD!A98</f>
        <v>0</v>
      </c>
    </row>
    <row r="97" spans="1:1" x14ac:dyDescent="0.25">
      <c r="A97" s="1">
        <f>SMD!A99</f>
        <v>0</v>
      </c>
    </row>
    <row r="98" spans="1:1" x14ac:dyDescent="0.25">
      <c r="A98" s="1">
        <f>SMD!A100</f>
        <v>0</v>
      </c>
    </row>
    <row r="99" spans="1:1" x14ac:dyDescent="0.25">
      <c r="A99" s="1">
        <f>SMD!A101</f>
        <v>0</v>
      </c>
    </row>
    <row r="100" spans="1:1" x14ac:dyDescent="0.25">
      <c r="A100" s="1">
        <f>SMD!A102</f>
        <v>0</v>
      </c>
    </row>
    <row r="101" spans="1:1" x14ac:dyDescent="0.25">
      <c r="A101" s="1">
        <f>SMD!A103</f>
        <v>0</v>
      </c>
    </row>
    <row r="102" spans="1:1" x14ac:dyDescent="0.25">
      <c r="A102" s="1">
        <f>SMD!A104</f>
        <v>0</v>
      </c>
    </row>
    <row r="103" spans="1:1" x14ac:dyDescent="0.25">
      <c r="A103" s="1">
        <f>SMD!A105</f>
        <v>0</v>
      </c>
    </row>
    <row r="104" spans="1:1" x14ac:dyDescent="0.25">
      <c r="A104" s="1">
        <f>SMD!A106</f>
        <v>0</v>
      </c>
    </row>
    <row r="105" spans="1:1" x14ac:dyDescent="0.25">
      <c r="A105" s="1">
        <f>SMD!A107</f>
        <v>0</v>
      </c>
    </row>
    <row r="106" spans="1:1" x14ac:dyDescent="0.25">
      <c r="A106" s="1">
        <f>SMD!A108</f>
        <v>0</v>
      </c>
    </row>
    <row r="107" spans="1:1" x14ac:dyDescent="0.25">
      <c r="A107" s="1">
        <f>SMD!A109</f>
        <v>0</v>
      </c>
    </row>
    <row r="108" spans="1:1" x14ac:dyDescent="0.25">
      <c r="A108" s="1">
        <f>SMD!A110</f>
        <v>0</v>
      </c>
    </row>
    <row r="109" spans="1:1" x14ac:dyDescent="0.25">
      <c r="A109" s="1">
        <f>SMD!A111</f>
        <v>0</v>
      </c>
    </row>
    <row r="110" spans="1:1" x14ac:dyDescent="0.25">
      <c r="A110" s="1">
        <f>SMD!A112</f>
        <v>0</v>
      </c>
    </row>
    <row r="111" spans="1:1" x14ac:dyDescent="0.25">
      <c r="A111" s="1">
        <f>SMD!A113</f>
        <v>0</v>
      </c>
    </row>
    <row r="112" spans="1:1" x14ac:dyDescent="0.25">
      <c r="A112" s="1">
        <f>SMD!A114</f>
        <v>0</v>
      </c>
    </row>
    <row r="113" spans="1:1" x14ac:dyDescent="0.25">
      <c r="A113" s="1">
        <f>SMD!A115</f>
        <v>0</v>
      </c>
    </row>
    <row r="114" spans="1:1" x14ac:dyDescent="0.25">
      <c r="A114" s="1">
        <f>SMD!A116</f>
        <v>0</v>
      </c>
    </row>
    <row r="115" spans="1:1" x14ac:dyDescent="0.25">
      <c r="A115" s="1">
        <f>SMD!A117</f>
        <v>0</v>
      </c>
    </row>
    <row r="116" spans="1:1" x14ac:dyDescent="0.25">
      <c r="A116" s="1">
        <f>SMD!A118</f>
        <v>0</v>
      </c>
    </row>
    <row r="117" spans="1:1" x14ac:dyDescent="0.25">
      <c r="A117" s="1">
        <f>SMD!A119</f>
        <v>0</v>
      </c>
    </row>
    <row r="118" spans="1:1" x14ac:dyDescent="0.25">
      <c r="A118" s="1">
        <f>SMD!A120</f>
        <v>0</v>
      </c>
    </row>
    <row r="119" spans="1:1" x14ac:dyDescent="0.25">
      <c r="A119" s="1">
        <f>SMD!A121</f>
        <v>0</v>
      </c>
    </row>
    <row r="120" spans="1:1" x14ac:dyDescent="0.25">
      <c r="A120" s="1">
        <f>SMD!A122</f>
        <v>0</v>
      </c>
    </row>
    <row r="121" spans="1:1" x14ac:dyDescent="0.25">
      <c r="A121" s="1">
        <f>SMD!A123</f>
        <v>0</v>
      </c>
    </row>
    <row r="122" spans="1:1" x14ac:dyDescent="0.25">
      <c r="A122" s="1">
        <f>SMD!A124</f>
        <v>0</v>
      </c>
    </row>
    <row r="123" spans="1:1" x14ac:dyDescent="0.25">
      <c r="A123" s="1">
        <f>SMD!A125</f>
        <v>0</v>
      </c>
    </row>
    <row r="124" spans="1:1" x14ac:dyDescent="0.25">
      <c r="A124" s="1">
        <f>SMD!A126</f>
        <v>0</v>
      </c>
    </row>
    <row r="125" spans="1:1" x14ac:dyDescent="0.25">
      <c r="A125" s="1">
        <f>SMD!A127</f>
        <v>0</v>
      </c>
    </row>
    <row r="126" spans="1:1" x14ac:dyDescent="0.25">
      <c r="A126" s="1">
        <f>SMD!A128</f>
        <v>0</v>
      </c>
    </row>
    <row r="127" spans="1:1" x14ac:dyDescent="0.25">
      <c r="A127" s="1">
        <f>SMD!A129</f>
        <v>0</v>
      </c>
    </row>
    <row r="128" spans="1:1" x14ac:dyDescent="0.25">
      <c r="A128" s="1">
        <f>SMD!A130</f>
        <v>0</v>
      </c>
    </row>
    <row r="129" spans="1:1" x14ac:dyDescent="0.25">
      <c r="A129" s="1">
        <f>SMD!A131</f>
        <v>0</v>
      </c>
    </row>
    <row r="130" spans="1:1" x14ac:dyDescent="0.25">
      <c r="A130" s="1">
        <f>SMD!A132</f>
        <v>0</v>
      </c>
    </row>
    <row r="131" spans="1:1" x14ac:dyDescent="0.25">
      <c r="A131" s="1">
        <f>SMD!A133</f>
        <v>0</v>
      </c>
    </row>
    <row r="132" spans="1:1" x14ac:dyDescent="0.25">
      <c r="A132" s="1">
        <f>SMD!A134</f>
        <v>0</v>
      </c>
    </row>
    <row r="133" spans="1:1" x14ac:dyDescent="0.25">
      <c r="A133" s="1">
        <f>SMD!A135</f>
        <v>0</v>
      </c>
    </row>
    <row r="134" spans="1:1" x14ac:dyDescent="0.25">
      <c r="A134" s="1">
        <f>SMD!A136</f>
        <v>0</v>
      </c>
    </row>
    <row r="135" spans="1:1" x14ac:dyDescent="0.25">
      <c r="A135" s="1">
        <f>SMD!A137</f>
        <v>0</v>
      </c>
    </row>
    <row r="136" spans="1:1" x14ac:dyDescent="0.25">
      <c r="A136" s="1">
        <f>SMD!A138</f>
        <v>0</v>
      </c>
    </row>
    <row r="137" spans="1:1" x14ac:dyDescent="0.25">
      <c r="A137" s="1">
        <f>SMD!A139</f>
        <v>0</v>
      </c>
    </row>
    <row r="138" spans="1:1" x14ac:dyDescent="0.25">
      <c r="A138" s="1">
        <f>SMD!A140</f>
        <v>0</v>
      </c>
    </row>
    <row r="139" spans="1:1" x14ac:dyDescent="0.25">
      <c r="A139" s="1">
        <f>SMD!A141</f>
        <v>0</v>
      </c>
    </row>
    <row r="140" spans="1:1" x14ac:dyDescent="0.25">
      <c r="A140" s="1">
        <f>SMD!A142</f>
        <v>0</v>
      </c>
    </row>
    <row r="141" spans="1:1" x14ac:dyDescent="0.25">
      <c r="A141" s="1">
        <f>SMD!A143</f>
        <v>0</v>
      </c>
    </row>
    <row r="142" spans="1:1" x14ac:dyDescent="0.25">
      <c r="A142" s="1">
        <f>SMD!A144</f>
        <v>0</v>
      </c>
    </row>
    <row r="143" spans="1:1" x14ac:dyDescent="0.25">
      <c r="A143" s="1">
        <f>SMD!A145</f>
        <v>0</v>
      </c>
    </row>
    <row r="144" spans="1:1" x14ac:dyDescent="0.25">
      <c r="A144" s="1">
        <f>SMD!A146</f>
        <v>0</v>
      </c>
    </row>
    <row r="145" spans="1:1" x14ac:dyDescent="0.25">
      <c r="A145" s="1">
        <f>SMD!A147</f>
        <v>0</v>
      </c>
    </row>
    <row r="146" spans="1:1" x14ac:dyDescent="0.25">
      <c r="A146" s="1">
        <f>SMD!A148</f>
        <v>0</v>
      </c>
    </row>
    <row r="147" spans="1:1" x14ac:dyDescent="0.25">
      <c r="A147" s="1">
        <f>SMD!A149</f>
        <v>0</v>
      </c>
    </row>
    <row r="148" spans="1:1" x14ac:dyDescent="0.25">
      <c r="A148" s="1">
        <f>SMD!A150</f>
        <v>0</v>
      </c>
    </row>
    <row r="149" spans="1:1" x14ac:dyDescent="0.25">
      <c r="A149" s="1">
        <f>SMD!A151</f>
        <v>0</v>
      </c>
    </row>
    <row r="150" spans="1:1" x14ac:dyDescent="0.25">
      <c r="A150" s="1">
        <f>SMD!A152</f>
        <v>0</v>
      </c>
    </row>
    <row r="151" spans="1:1" x14ac:dyDescent="0.25">
      <c r="A151" s="1">
        <f>SMD!A153</f>
        <v>0</v>
      </c>
    </row>
    <row r="152" spans="1:1" x14ac:dyDescent="0.25">
      <c r="A152" s="1">
        <f>SMD!A154</f>
        <v>0</v>
      </c>
    </row>
    <row r="153" spans="1:1" x14ac:dyDescent="0.25">
      <c r="A153" s="1">
        <f>SMD!A155</f>
        <v>0</v>
      </c>
    </row>
    <row r="154" spans="1:1" x14ac:dyDescent="0.25">
      <c r="A154" s="1">
        <f>SMD!A156</f>
        <v>0</v>
      </c>
    </row>
    <row r="155" spans="1:1" x14ac:dyDescent="0.25">
      <c r="A155" s="1">
        <f>SMD!A157</f>
        <v>0</v>
      </c>
    </row>
    <row r="156" spans="1:1" x14ac:dyDescent="0.25">
      <c r="A156" s="1">
        <f>SMD!A158</f>
        <v>0</v>
      </c>
    </row>
    <row r="157" spans="1:1" x14ac:dyDescent="0.25">
      <c r="A157" s="1">
        <f>SMD!A159</f>
        <v>0</v>
      </c>
    </row>
    <row r="158" spans="1:1" x14ac:dyDescent="0.25">
      <c r="A158" s="1">
        <f>SMD!A160</f>
        <v>0</v>
      </c>
    </row>
    <row r="159" spans="1:1" x14ac:dyDescent="0.25">
      <c r="A159" s="1">
        <f>SMD!A161</f>
        <v>0</v>
      </c>
    </row>
    <row r="160" spans="1:1" x14ac:dyDescent="0.25">
      <c r="A160" s="1">
        <f>SMD!A162</f>
        <v>0</v>
      </c>
    </row>
    <row r="161" spans="1:1" x14ac:dyDescent="0.25">
      <c r="A161" s="1">
        <f>SMD!A163</f>
        <v>0</v>
      </c>
    </row>
    <row r="162" spans="1:1" x14ac:dyDescent="0.25">
      <c r="A162" s="1">
        <f>SMD!A164</f>
        <v>0</v>
      </c>
    </row>
    <row r="163" spans="1:1" x14ac:dyDescent="0.25">
      <c r="A163" s="1">
        <f>SMD!A165</f>
        <v>0</v>
      </c>
    </row>
    <row r="164" spans="1:1" x14ac:dyDescent="0.25">
      <c r="A164" s="1">
        <f>SMD!A166</f>
        <v>0</v>
      </c>
    </row>
    <row r="165" spans="1:1" x14ac:dyDescent="0.25">
      <c r="A165" s="1">
        <f>SMD!A167</f>
        <v>0</v>
      </c>
    </row>
    <row r="166" spans="1:1" x14ac:dyDescent="0.25">
      <c r="A166" s="1">
        <f>SMD!A168</f>
        <v>0</v>
      </c>
    </row>
    <row r="167" spans="1:1" x14ac:dyDescent="0.25">
      <c r="A167" s="1">
        <f>SMD!A169</f>
        <v>0</v>
      </c>
    </row>
    <row r="168" spans="1:1" x14ac:dyDescent="0.25">
      <c r="A168" s="1">
        <f>SMD!A170</f>
        <v>0</v>
      </c>
    </row>
    <row r="169" spans="1:1" x14ac:dyDescent="0.25">
      <c r="A169" s="1">
        <f>SMD!A171</f>
        <v>0</v>
      </c>
    </row>
    <row r="170" spans="1:1" x14ac:dyDescent="0.25">
      <c r="A170" s="1">
        <f>SMD!A172</f>
        <v>0</v>
      </c>
    </row>
    <row r="171" spans="1:1" x14ac:dyDescent="0.25">
      <c r="A171" s="1">
        <f>SMD!A173</f>
        <v>0</v>
      </c>
    </row>
    <row r="172" spans="1:1" x14ac:dyDescent="0.25">
      <c r="A172" s="1">
        <f>SMD!A174</f>
        <v>0</v>
      </c>
    </row>
    <row r="173" spans="1:1" x14ac:dyDescent="0.25">
      <c r="A173" s="1">
        <f>SMD!A175</f>
        <v>0</v>
      </c>
    </row>
    <row r="174" spans="1:1" x14ac:dyDescent="0.25">
      <c r="A174" s="1">
        <f>SMD!A176</f>
        <v>0</v>
      </c>
    </row>
    <row r="175" spans="1:1" x14ac:dyDescent="0.25">
      <c r="A175" s="1">
        <f>SMD!A177</f>
        <v>0</v>
      </c>
    </row>
    <row r="176" spans="1:1" x14ac:dyDescent="0.25">
      <c r="A176" s="1">
        <f>SMD!A178</f>
        <v>0</v>
      </c>
    </row>
    <row r="177" spans="1:1" x14ac:dyDescent="0.25">
      <c r="A177" s="1">
        <f>SMD!A179</f>
        <v>0</v>
      </c>
    </row>
    <row r="178" spans="1:1" x14ac:dyDescent="0.25">
      <c r="A178" s="1">
        <f>SMD!A180</f>
        <v>0</v>
      </c>
    </row>
    <row r="179" spans="1:1" x14ac:dyDescent="0.25">
      <c r="A179" s="1">
        <f>SMD!A181</f>
        <v>0</v>
      </c>
    </row>
    <row r="180" spans="1:1" x14ac:dyDescent="0.25">
      <c r="A180" s="1">
        <f>SMD!A182</f>
        <v>0</v>
      </c>
    </row>
    <row r="181" spans="1:1" x14ac:dyDescent="0.25">
      <c r="A181" s="1">
        <f>SMD!A183</f>
        <v>0</v>
      </c>
    </row>
    <row r="182" spans="1:1" x14ac:dyDescent="0.25">
      <c r="A182" s="1">
        <f>SMD!A184</f>
        <v>0</v>
      </c>
    </row>
    <row r="183" spans="1:1" x14ac:dyDescent="0.25">
      <c r="A183" s="1">
        <f>SMD!A185</f>
        <v>0</v>
      </c>
    </row>
    <row r="184" spans="1:1" x14ac:dyDescent="0.25">
      <c r="A184" s="1">
        <f>SMD!A186</f>
        <v>0</v>
      </c>
    </row>
    <row r="185" spans="1:1" x14ac:dyDescent="0.25">
      <c r="A185" s="1">
        <f>SMD!A187</f>
        <v>0</v>
      </c>
    </row>
    <row r="186" spans="1:1" x14ac:dyDescent="0.25">
      <c r="A186" s="1">
        <f>SMD!A188</f>
        <v>0</v>
      </c>
    </row>
    <row r="187" spans="1:1" x14ac:dyDescent="0.25">
      <c r="A187" s="1">
        <f>SMD!A189</f>
        <v>0</v>
      </c>
    </row>
    <row r="188" spans="1:1" x14ac:dyDescent="0.25">
      <c r="A188" s="1">
        <f>SMD!A190</f>
        <v>0</v>
      </c>
    </row>
    <row r="189" spans="1:1" x14ac:dyDescent="0.25">
      <c r="A189" s="1">
        <f>SMD!A191</f>
        <v>0</v>
      </c>
    </row>
    <row r="190" spans="1:1" x14ac:dyDescent="0.25">
      <c r="A190" s="1">
        <f>SMD!A192</f>
        <v>0</v>
      </c>
    </row>
    <row r="191" spans="1:1" x14ac:dyDescent="0.25">
      <c r="A191" s="1">
        <f>SMD!A193</f>
        <v>0</v>
      </c>
    </row>
    <row r="192" spans="1:1" x14ac:dyDescent="0.25">
      <c r="A192" s="1">
        <f>SMD!A194</f>
        <v>0</v>
      </c>
    </row>
    <row r="193" spans="1:1" x14ac:dyDescent="0.25">
      <c r="A193" s="1">
        <f>SMD!A195</f>
        <v>0</v>
      </c>
    </row>
    <row r="194" spans="1:1" x14ac:dyDescent="0.25">
      <c r="A194" s="1">
        <f>SMD!A196</f>
        <v>0</v>
      </c>
    </row>
    <row r="195" spans="1:1" x14ac:dyDescent="0.25">
      <c r="A195" s="1">
        <f>SMD!A197</f>
        <v>0</v>
      </c>
    </row>
    <row r="196" spans="1:1" x14ac:dyDescent="0.25">
      <c r="A196" s="1">
        <f>SMD!A198</f>
        <v>0</v>
      </c>
    </row>
    <row r="197" spans="1:1" x14ac:dyDescent="0.25">
      <c r="A197" s="1">
        <f>SMD!A199</f>
        <v>0</v>
      </c>
    </row>
    <row r="198" spans="1:1" x14ac:dyDescent="0.25">
      <c r="A198" s="1">
        <f>SMD!A200</f>
        <v>0</v>
      </c>
    </row>
    <row r="199" spans="1:1" x14ac:dyDescent="0.25">
      <c r="A199" s="1">
        <f>SMD!A201</f>
        <v>0</v>
      </c>
    </row>
    <row r="200" spans="1:1" x14ac:dyDescent="0.25">
      <c r="A200" s="1">
        <f>SMD!A202</f>
        <v>0</v>
      </c>
    </row>
    <row r="201" spans="1:1" x14ac:dyDescent="0.25">
      <c r="A201" s="1">
        <f>SMD!A203</f>
        <v>0</v>
      </c>
    </row>
    <row r="202" spans="1:1" x14ac:dyDescent="0.25">
      <c r="A202" s="1">
        <f>SMD!A204</f>
        <v>0</v>
      </c>
    </row>
    <row r="203" spans="1:1" x14ac:dyDescent="0.25">
      <c r="A203" s="1">
        <f>SMD!A205</f>
        <v>0</v>
      </c>
    </row>
    <row r="204" spans="1:1" x14ac:dyDescent="0.25">
      <c r="A204" s="1">
        <f>SMD!A206</f>
        <v>0</v>
      </c>
    </row>
    <row r="205" spans="1:1" x14ac:dyDescent="0.25">
      <c r="A205" s="1">
        <f>SMD!A207</f>
        <v>0</v>
      </c>
    </row>
    <row r="206" spans="1:1" x14ac:dyDescent="0.25">
      <c r="A206" s="1">
        <f>SMD!A208</f>
        <v>0</v>
      </c>
    </row>
    <row r="207" spans="1:1" x14ac:dyDescent="0.25">
      <c r="A207" s="1">
        <f>SMD!A209</f>
        <v>0</v>
      </c>
    </row>
    <row r="208" spans="1:1" x14ac:dyDescent="0.25">
      <c r="A208" s="1">
        <f>SMD!A210</f>
        <v>0</v>
      </c>
    </row>
    <row r="209" spans="1:1" x14ac:dyDescent="0.25">
      <c r="A209" s="1">
        <f>SMD!A211</f>
        <v>0</v>
      </c>
    </row>
    <row r="210" spans="1:1" x14ac:dyDescent="0.25">
      <c r="A210" s="1">
        <f>SMD!A212</f>
        <v>0</v>
      </c>
    </row>
    <row r="211" spans="1:1" x14ac:dyDescent="0.25">
      <c r="A211" s="1">
        <f>SMD!A213</f>
        <v>0</v>
      </c>
    </row>
    <row r="212" spans="1:1" x14ac:dyDescent="0.25">
      <c r="A212" s="1">
        <f>SMD!A214</f>
        <v>0</v>
      </c>
    </row>
    <row r="213" spans="1:1" x14ac:dyDescent="0.25">
      <c r="A213" s="1">
        <f>SMD!A215</f>
        <v>0</v>
      </c>
    </row>
    <row r="214" spans="1:1" x14ac:dyDescent="0.25">
      <c r="A214" s="1">
        <f>SMD!A216</f>
        <v>0</v>
      </c>
    </row>
    <row r="215" spans="1:1" x14ac:dyDescent="0.25">
      <c r="A215" s="1">
        <f>SMD!A217</f>
        <v>0</v>
      </c>
    </row>
    <row r="216" spans="1:1" x14ac:dyDescent="0.25">
      <c r="A216" s="1">
        <f>SMD!A218</f>
        <v>0</v>
      </c>
    </row>
    <row r="217" spans="1:1" x14ac:dyDescent="0.25">
      <c r="A217" s="1">
        <f>SMD!A219</f>
        <v>0</v>
      </c>
    </row>
    <row r="218" spans="1:1" x14ac:dyDescent="0.25">
      <c r="A218" s="1">
        <f>SMD!A220</f>
        <v>0</v>
      </c>
    </row>
    <row r="219" spans="1:1" x14ac:dyDescent="0.25">
      <c r="A219" s="1">
        <f>SMD!A221</f>
        <v>0</v>
      </c>
    </row>
    <row r="220" spans="1:1" x14ac:dyDescent="0.25">
      <c r="A220" s="1">
        <f>SMD!A222</f>
        <v>0</v>
      </c>
    </row>
    <row r="221" spans="1:1" x14ac:dyDescent="0.25">
      <c r="A221" s="1">
        <f>SMD!A223</f>
        <v>0</v>
      </c>
    </row>
    <row r="222" spans="1:1" x14ac:dyDescent="0.25">
      <c r="A222" s="1">
        <f>SMD!A224</f>
        <v>0</v>
      </c>
    </row>
    <row r="223" spans="1:1" x14ac:dyDescent="0.25">
      <c r="A223" s="1">
        <f>SMD!A225</f>
        <v>0</v>
      </c>
    </row>
    <row r="224" spans="1:1" x14ac:dyDescent="0.25">
      <c r="A224" s="1">
        <f>SMD!A226</f>
        <v>0</v>
      </c>
    </row>
    <row r="225" spans="1:1" x14ac:dyDescent="0.25">
      <c r="A225" s="1">
        <f>SMD!A227</f>
        <v>0</v>
      </c>
    </row>
    <row r="226" spans="1:1" x14ac:dyDescent="0.25">
      <c r="A226" s="1">
        <f>SMD!A228</f>
        <v>0</v>
      </c>
    </row>
    <row r="227" spans="1:1" x14ac:dyDescent="0.25">
      <c r="A227" s="1">
        <f>SMD!A229</f>
        <v>0</v>
      </c>
    </row>
    <row r="228" spans="1:1" x14ac:dyDescent="0.25">
      <c r="A228" s="1">
        <f>SMD!A230</f>
        <v>0</v>
      </c>
    </row>
    <row r="229" spans="1:1" x14ac:dyDescent="0.25">
      <c r="A229" s="1">
        <f>SMD!A231</f>
        <v>0</v>
      </c>
    </row>
    <row r="230" spans="1:1" x14ac:dyDescent="0.25">
      <c r="A230" s="1">
        <f>SMD!A232</f>
        <v>0</v>
      </c>
    </row>
    <row r="231" spans="1:1" x14ac:dyDescent="0.25">
      <c r="A231" s="1">
        <f>SMD!A233</f>
        <v>0</v>
      </c>
    </row>
    <row r="232" spans="1:1" x14ac:dyDescent="0.25">
      <c r="A232" s="1">
        <f>SMD!A234</f>
        <v>0</v>
      </c>
    </row>
    <row r="233" spans="1:1" x14ac:dyDescent="0.25">
      <c r="A233" s="1">
        <f>SMD!A235</f>
        <v>0</v>
      </c>
    </row>
    <row r="234" spans="1:1" x14ac:dyDescent="0.25">
      <c r="A234" s="1">
        <f>SMD!A236</f>
        <v>0</v>
      </c>
    </row>
    <row r="235" spans="1:1" x14ac:dyDescent="0.25">
      <c r="A235" s="1">
        <f>SMD!A237</f>
        <v>0</v>
      </c>
    </row>
    <row r="236" spans="1:1" x14ac:dyDescent="0.25">
      <c r="A236" s="1">
        <f>SMD!A238</f>
        <v>0</v>
      </c>
    </row>
    <row r="237" spans="1:1" x14ac:dyDescent="0.25">
      <c r="A237" s="1">
        <f>SMD!A239</f>
        <v>0</v>
      </c>
    </row>
    <row r="238" spans="1:1" x14ac:dyDescent="0.25">
      <c r="A238" s="1">
        <f>SMD!A240</f>
        <v>0</v>
      </c>
    </row>
    <row r="239" spans="1:1" x14ac:dyDescent="0.25">
      <c r="A239" s="1">
        <f>SMD!A241</f>
        <v>0</v>
      </c>
    </row>
    <row r="240" spans="1:1" x14ac:dyDescent="0.25">
      <c r="A240" s="1">
        <f>SMD!A242</f>
        <v>0</v>
      </c>
    </row>
    <row r="241" spans="1:1" x14ac:dyDescent="0.25">
      <c r="A241" s="1">
        <f>SMD!A243</f>
        <v>0</v>
      </c>
    </row>
    <row r="242" spans="1:1" x14ac:dyDescent="0.25">
      <c r="A242" s="1">
        <f>SMD!A244</f>
        <v>0</v>
      </c>
    </row>
    <row r="243" spans="1:1" x14ac:dyDescent="0.25">
      <c r="A243" s="1">
        <f>SMD!A245</f>
        <v>0</v>
      </c>
    </row>
    <row r="244" spans="1:1" x14ac:dyDescent="0.25">
      <c r="A244" s="1">
        <f>SMD!A246</f>
        <v>0</v>
      </c>
    </row>
    <row r="245" spans="1:1" x14ac:dyDescent="0.25">
      <c r="A245" s="1">
        <f>SMD!A247</f>
        <v>0</v>
      </c>
    </row>
    <row r="246" spans="1:1" x14ac:dyDescent="0.25">
      <c r="A246" s="1">
        <f>SMD!A248</f>
        <v>0</v>
      </c>
    </row>
    <row r="247" spans="1:1" x14ac:dyDescent="0.25">
      <c r="A247" s="1">
        <f>SMD!A249</f>
        <v>0</v>
      </c>
    </row>
    <row r="248" spans="1:1" x14ac:dyDescent="0.25">
      <c r="A248" s="1">
        <f>SMD!A250</f>
        <v>0</v>
      </c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</sheetData>
  <mergeCells count="1">
    <mergeCell ref="A1:A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SMD</vt:lpstr>
      <vt:lpstr>Placas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PCdGU</dc:creator>
  <cp:lastModifiedBy>PCdGU</cp:lastModifiedBy>
  <dcterms:created xsi:type="dcterms:W3CDTF">2020-06-15T00:16:47Z</dcterms:created>
  <dcterms:modified xsi:type="dcterms:W3CDTF">2020-07-23T03:23:42Z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