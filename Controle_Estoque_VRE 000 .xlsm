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A8F1AEC4-0444-404F-8170-E0D50318193B}" xr6:coauthVersionLast="45" xr6:coauthVersionMax="45" xr10:uidLastSave="{00000000-0000-0000-0000-000000000000}"/>
  <bookViews>
    <workbookView xWindow="-120" yWindow="-120" windowWidth="20730" windowHeight="11160" xr2:uid="{F5DBBD21-B94D-41D8-A23C-F39DA11184E2}"/>
  </bookViews>
  <sheets>
    <sheet name="SMD" sheetId="6" r:id="rId1"/>
    <sheet name="Placa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" i="6" l="1"/>
  <c r="N4" i="6" s="1"/>
  <c r="G4" i="6" l="1"/>
  <c r="F4" i="6"/>
  <c r="M3" i="6"/>
  <c r="N3" i="6"/>
  <c r="G3" i="6" l="1"/>
  <c r="F3" i="6"/>
</calcChain>
</file>

<file path=xl/sharedStrings.xml><?xml version="1.0" encoding="utf-8"?>
<sst xmlns="http://schemas.openxmlformats.org/spreadsheetml/2006/main" count="15" uniqueCount="12">
  <si>
    <t>Nome</t>
  </si>
  <si>
    <t>Rolos</t>
  </si>
  <si>
    <t>Código</t>
  </si>
  <si>
    <t>Quantidade por rolo</t>
  </si>
  <si>
    <t>Lotes</t>
  </si>
  <si>
    <t>Total de Componentes</t>
  </si>
  <si>
    <t>Lote 01</t>
  </si>
  <si>
    <t>Usados</t>
  </si>
  <si>
    <t>Necessários</t>
  </si>
  <si>
    <t>Lote 02</t>
  </si>
  <si>
    <t>Res 0805 1K</t>
  </si>
  <si>
    <t>Res 0805 10K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</si>
</sst>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7C7C7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1" fontId="0" fillId="4" borderId="12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1" fontId="0" fillId="4" borderId="10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/>
    <xf numFmtId="1" fontId="0" fillId="2" borderId="2" xfId="0" applyNumberFormat="1" applyFill="1" applyBorder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0" borderId="0" xfId="0" applyBorder="1"/>
    <xf numFmtId="0" fontId="0" fillId="2" borderId="15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4" borderId="10" xfId="0" applyFill="1" applyBorder="1"/>
    <xf numFmtId="1" fontId="0" fillId="2" borderId="16" xfId="0" applyNumberFormat="1" applyFill="1" applyBorder="1" applyAlignment="1">
      <alignment horizontal="center" vertical="center"/>
    </xf>
    <xf numFmtId="1" fontId="0" fillId="5" borderId="16" xfId="0" applyNumberFormat="1" applyFill="1" applyBorder="1" applyAlignment="1">
      <alignment horizontal="center" vertical="center"/>
    </xf>
    <xf numFmtId="0" fontId="0" fillId="5" borderId="16" xfId="0" applyFill="1" applyBorder="1"/>
    <xf numFmtId="1" fontId="0" fillId="5" borderId="18" xfId="0" applyNumberFormat="1" applyFill="1" applyBorder="1" applyAlignment="1">
      <alignment horizontal="center" vertical="center"/>
    </xf>
    <xf numFmtId="1" fontId="0" fillId="2" borderId="17" xfId="0" applyNumberFormat="1" applyFill="1" applyBorder="1" applyAlignment="1">
      <alignment horizontal="center" vertical="center"/>
    </xf>
    <xf numFmtId="1" fontId="0" fillId="5" borderId="13" xfId="0" applyNumberFormat="1" applyFill="1" applyBorder="1" applyAlignment="1">
      <alignment horizontal="center" vertical="center"/>
    </xf>
    <xf numFmtId="1" fontId="0" fillId="2" borderId="13" xfId="0" applyNumberFormat="1" applyFill="1" applyBorder="1" applyAlignment="1">
      <alignment horizontal="center" vertical="center"/>
    </xf>
    <xf numFmtId="0" fontId="0" fillId="5" borderId="13" xfId="0" applyFill="1" applyBorder="1"/>
    <xf numFmtId="1" fontId="0" fillId="2" borderId="13" xfId="0" applyNumberForma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/>
    </xf>
    <xf numFmtId="1" fontId="0" fillId="5" borderId="14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1" fontId="0" fillId="5" borderId="19" xfId="0" applyNumberFormat="1" applyFill="1" applyBorder="1" applyAlignment="1">
      <alignment horizontal="center" vertical="center"/>
    </xf>
    <xf numFmtId="1" fontId="0" fillId="2" borderId="20" xfId="0" applyNumberFormat="1" applyFill="1" applyBorder="1" applyAlignment="1">
      <alignment horizontal="center" vertical="center"/>
    </xf>
    <xf numFmtId="1" fontId="0" fillId="2" borderId="20" xfId="0" applyNumberFormat="1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1" fontId="0" fillId="2" borderId="14" xfId="0" applyNumberFormat="1" applyFill="1" applyBorder="1" applyAlignment="1">
      <alignment horizontal="center" vertical="center" wrapText="1"/>
    </xf>
    <xf numFmtId="1" fontId="0" fillId="2" borderId="21" xfId="0" applyNumberFormat="1" applyFill="1" applyBorder="1" applyAlignment="1">
      <alignment horizontal="center" vertical="center" wrapText="1"/>
    </xf>
    <xf numFmtId="1" fontId="0" fillId="5" borderId="22" xfId="0" applyNumberFormat="1" applyFill="1" applyBorder="1" applyAlignment="1">
      <alignment horizontal="center" vertical="center"/>
    </xf>
    <xf numFmtId="0" fontId="0" fillId="5" borderId="14" xfId="0" applyFill="1" applyBorder="1"/>
    <xf numFmtId="1" fontId="1" fillId="2" borderId="23" xfId="0" applyNumberFormat="1" applyFont="1" applyFill="1" applyBorder="1" applyAlignment="1">
      <alignment horizontal="center" vertical="center" wrapText="1"/>
    </xf>
    <xf numFmtId="1" fontId="0" fillId="2" borderId="24" xfId="0" applyNumberFormat="1" applyFill="1" applyBorder="1" applyAlignment="1">
      <alignment horizontal="center" vertical="center" wrapText="1"/>
    </xf>
    <xf numFmtId="1" fontId="0" fillId="3" borderId="25" xfId="0" applyNumberFormat="1" applyFill="1" applyBorder="1" applyAlignment="1">
      <alignment horizontal="center" vertical="center"/>
    </xf>
    <xf numFmtId="1" fontId="0" fillId="3" borderId="26" xfId="0" applyNumberFormat="1" applyFill="1" applyBorder="1" applyAlignment="1">
      <alignment horizontal="center" vertical="center"/>
    </xf>
    <xf numFmtId="0" fontId="0" fillId="3" borderId="26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C7C7C7"/>
      <color rgb="FFFFDDFF"/>
      <color rgb="FFFF99FF"/>
      <color rgb="FFE6E6E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1FD4-72B7-4B4B-A2A1-3AF0572FA4AF}">
  <dimension ref="A1:U7"/>
  <sheetViews>
    <sheetView tabSelected="1" workbookViewId="0">
      <selection sqref="A1:A1048576"/>
    </sheetView>
  </sheetViews>
  <sheetFormatPr defaultColWidth="0" defaultRowHeight="15" x14ac:dyDescent="0.25"/>
  <cols>
    <col min="1" max="1" width="15" style="19" customWidth="1"/>
    <col min="2" max="3" width="15" style="20" customWidth="1"/>
    <col min="4" max="4" width="2.7109375" style="27" customWidth="1"/>
    <col min="5" max="5" width="14.7109375" style="30" customWidth="1"/>
    <col min="6" max="6" width="14.7109375" style="35" customWidth="1"/>
    <col min="7" max="7" width="14.7109375" style="47" customWidth="1"/>
    <col min="8" max="8" width="14.7109375" style="52" customWidth="1"/>
    <col min="9" max="9" width="2.7109375" style="8" customWidth="1"/>
    <col min="10" max="10" width="11" style="20" customWidth="1"/>
    <col min="11" max="11" width="11" style="19" customWidth="1"/>
    <col min="12" max="12" width="11" style="24" hidden="1" customWidth="1"/>
    <col min="13" max="13" width="16.140625" style="30" customWidth="1"/>
    <col min="14" max="14" width="16.140625" style="35" customWidth="1"/>
    <col min="15" max="15" width="2.7109375" style="8" customWidth="1"/>
    <col min="16" max="17" width="9.140625" hidden="1"/>
    <col min="22" max="16384" width="9.140625" hidden="1"/>
  </cols>
  <sheetData>
    <row r="1" spans="1:15" s="2" customFormat="1" ht="27.75" customHeight="1" x14ac:dyDescent="0.25">
      <c r="A1" s="13" t="s">
        <v>0</v>
      </c>
      <c r="B1" s="15" t="s">
        <v>3</v>
      </c>
      <c r="C1" s="21" t="s">
        <v>2</v>
      </c>
      <c r="D1" s="9"/>
      <c r="E1" s="28" t="s">
        <v>7</v>
      </c>
      <c r="F1" s="34" t="s">
        <v>1</v>
      </c>
      <c r="G1" s="44" t="s">
        <v>5</v>
      </c>
      <c r="H1" s="48" t="s">
        <v>8</v>
      </c>
      <c r="I1" s="10"/>
      <c r="J1" s="17" t="s">
        <v>4</v>
      </c>
      <c r="K1" s="18"/>
      <c r="L1" s="18"/>
      <c r="M1" s="34" t="s">
        <v>1</v>
      </c>
      <c r="N1" s="36" t="s">
        <v>5</v>
      </c>
      <c r="O1" s="6"/>
    </row>
    <row r="2" spans="1:15" s="2" customFormat="1" ht="15" customHeight="1" x14ac:dyDescent="0.25">
      <c r="A2" s="14"/>
      <c r="B2" s="16"/>
      <c r="C2" s="22"/>
      <c r="D2" s="11"/>
      <c r="E2" s="32"/>
      <c r="F2" s="41"/>
      <c r="G2" s="45"/>
      <c r="H2" s="49"/>
      <c r="I2" s="12"/>
      <c r="J2" s="4" t="s">
        <v>6</v>
      </c>
      <c r="K2" s="5" t="s">
        <v>9</v>
      </c>
      <c r="L2" s="25"/>
      <c r="M2" s="41"/>
      <c r="N2" s="42"/>
      <c r="O2" s="7"/>
    </row>
    <row r="3" spans="1:15" x14ac:dyDescent="0.25">
      <c r="A3" s="3" t="s">
        <v>10</v>
      </c>
      <c r="B3" s="1">
        <v>1000</v>
      </c>
      <c r="C3" s="23">
        <v>751320240095</v>
      </c>
      <c r="D3" s="9"/>
      <c r="E3" s="31"/>
      <c r="F3" s="40">
        <f t="shared" ref="F3:G4" ca="1" si="0">VALUE(M3)</f>
        <v>8</v>
      </c>
      <c r="G3" s="46">
        <f t="shared" ca="1" si="0"/>
        <v>8000</v>
      </c>
      <c r="H3" s="50"/>
      <c r="I3" s="10"/>
      <c r="J3" s="1">
        <v>8</v>
      </c>
      <c r="K3" s="3"/>
      <c r="L3" s="26"/>
      <c r="M3" s="31">
        <f ca="1">SUM(J3:INDIRECT(ADDRESS(ROW(),COLUMN()-1)))-E3</f>
        <v>8</v>
      </c>
      <c r="N3" s="43">
        <f ca="1">B3*INDIRECT(ADDRESS(ROW(),COLUMN()-1))</f>
        <v>8000</v>
      </c>
    </row>
    <row r="4" spans="1:15" x14ac:dyDescent="0.25">
      <c r="A4" s="3" t="s">
        <v>11</v>
      </c>
      <c r="B4" s="1">
        <v>1500</v>
      </c>
      <c r="C4" s="23">
        <v>683318941885</v>
      </c>
      <c r="D4" s="9"/>
      <c r="E4" s="31">
        <v>4</v>
      </c>
      <c r="F4" s="40">
        <f t="shared" ca="1" si="0"/>
        <v>5</v>
      </c>
      <c r="G4" s="46">
        <f t="shared" ca="1" si="0"/>
        <v>7500</v>
      </c>
      <c r="H4" s="50"/>
      <c r="I4" s="10"/>
      <c r="J4" s="1"/>
      <c r="K4" s="3">
        <v>9</v>
      </c>
      <c r="L4" s="26"/>
      <c r="M4" s="31">
        <f ca="1">SUM(J4:INDIRECT(ADDRESS(ROW(),COLUMN()-1)))-E4</f>
        <v>5</v>
      </c>
      <c r="N4" s="43">
        <f ca="1">B4*INDIRECT(ADDRESS(ROW(),COLUMN()-1))</f>
        <v>7500</v>
      </c>
    </row>
    <row r="5" spans="1:15" x14ac:dyDescent="0.25">
      <c r="A5" s="3"/>
      <c r="B5" s="1"/>
      <c r="C5" s="23"/>
      <c r="D5" s="9"/>
      <c r="E5" s="29"/>
      <c r="F5" s="33"/>
      <c r="G5" s="38"/>
      <c r="H5" s="51"/>
      <c r="I5" s="10"/>
      <c r="J5" s="1"/>
      <c r="K5" s="3"/>
      <c r="L5" s="26"/>
      <c r="M5" s="39"/>
      <c r="N5" s="37"/>
    </row>
    <row r="6" spans="1:15" x14ac:dyDescent="0.25">
      <c r="A6" s="3"/>
      <c r="B6" s="1"/>
      <c r="C6" s="23"/>
      <c r="D6" s="9"/>
      <c r="E6" s="29"/>
      <c r="F6" s="33"/>
      <c r="G6" s="38"/>
      <c r="H6" s="51"/>
      <c r="I6" s="10"/>
      <c r="J6" s="1"/>
      <c r="K6" s="3"/>
      <c r="L6" s="26"/>
      <c r="M6" s="39"/>
      <c r="N6" s="37"/>
    </row>
    <row r="7" spans="1:15" x14ac:dyDescent="0.25">
      <c r="A7" s="3"/>
      <c r="B7" s="1"/>
      <c r="C7" s="23"/>
      <c r="D7" s="9"/>
      <c r="E7" s="29"/>
      <c r="F7" s="33"/>
      <c r="G7" s="38"/>
      <c r="H7" s="51"/>
      <c r="I7" s="10"/>
      <c r="J7" s="1"/>
      <c r="K7" s="3"/>
      <c r="L7" s="26"/>
      <c r="M7" s="39"/>
      <c r="N7" s="37"/>
    </row>
  </sheetData>
  <mergeCells count="10">
    <mergeCell ref="H1:H2"/>
    <mergeCell ref="J1:L1"/>
    <mergeCell ref="M1:M2"/>
    <mergeCell ref="N1:N2"/>
    <mergeCell ref="A1:A2"/>
    <mergeCell ref="B1:B2"/>
    <mergeCell ref="C1:C2"/>
    <mergeCell ref="E1:E2"/>
    <mergeCell ref="F1:F2"/>
    <mergeCell ref="G1:G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948E-B139-4A30-8306-F9DACF97D921}">
  <dimension ref="A1:A7"/>
  <sheetViews>
    <sheetView workbookViewId="0">
      <selection activeCell="A3" sqref="A3:A4"/>
    </sheetView>
  </sheetViews>
  <sheetFormatPr defaultRowHeight="15" x14ac:dyDescent="0.25"/>
  <cols>
    <col min="1" max="1" width="15" style="19" customWidth="1"/>
  </cols>
  <sheetData>
    <row r="1" spans="1:1" x14ac:dyDescent="0.25">
      <c r="A1" s="13" t="s">
        <v>0</v>
      </c>
    </row>
    <row r="2" spans="1:1" x14ac:dyDescent="0.25">
      <c r="A2" s="14"/>
    </row>
    <row r="3" spans="1:1" x14ac:dyDescent="0.25">
      <c r="A3" s="3"/>
    </row>
    <row r="4" spans="1:1" x14ac:dyDescent="0.25">
      <c r="A4" s="3"/>
    </row>
    <row r="5" spans="1:1" x14ac:dyDescent="0.25">
      <c r="A5" s="3"/>
    </row>
    <row r="6" spans="1:1" x14ac:dyDescent="0.25">
      <c r="A6" s="3"/>
    </row>
    <row r="7" spans="1:1" x14ac:dyDescent="0.25">
      <c r="A7" s="3"/>
    </row>
  </sheetData>
  <mergeCells count="1">
    <mergeCell ref="A1:A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SMD</vt:lpstr>
      <vt:lpstr>Placas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2020-07-23T02:12:32Z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