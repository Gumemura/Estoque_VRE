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C9242761-B748-49C4-939F-D86EAD9C6367}" xr6:coauthVersionLast="44" xr6:coauthVersionMax="44" xr10:uidLastSave="{00000000-0000-0000-0000-000000000000}"/>
  <bookViews>
    <workbookView xWindow="-120" yWindow="-120" windowWidth="20730" windowHeight="11160" xr2:uid="{F5DBBD21-B94D-41D8-A23C-F39DA11184E2}"/>
  </bookViews>
  <sheets>
    <sheet name="SMD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3" l="1"/>
  <c r="N6" i="3"/>
  <c r="M3" i="3"/>
  <c r="M5" i="3"/>
  <c r="M4" i="3"/>
  <c r="N3" i="3"/>
  <c r="N5" i="3"/>
  <c r="N4" i="3"/>
  <c r="F6" i="3" l="1"/>
  <c r="F4" i="3"/>
  <c r="F5" i="3"/>
  <c r="G4" i="3"/>
  <c r="G5" i="3"/>
  <c r="G3" i="3"/>
  <c r="F3" i="3"/>
  <c r="G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tc={30056955-4A12-4FA0-8F4D-8C9C2A2D7E56}</author>
  </authors>
  <commentList>
    <comment ref="H1" authorId="0" shapeId="0" xr:uid="{30056955-4A12-4FA0-8F4D-8C9C2A2D7E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 SER IMPLEMENTADO
Componentes necessários para a produção de todas as placas que constam no estoque (outra planilha)
Numeros em vermelho simbolizam falta, e os em preto, excedente</t>
      </text>
    </comment>
  </commentList>
</comments>
</file>

<file path=xl/sharedStrings.xml><?xml version="1.0" encoding="utf-8"?>
<sst xmlns="http://schemas.openxmlformats.org/spreadsheetml/2006/main" count="15" uniqueCount="13">
  <si>
    <t>Nome</t>
  </si>
  <si>
    <t>Rolos</t>
  </si>
  <si>
    <t>Código</t>
  </si>
  <si>
    <t>Res 1K 0805</t>
  </si>
  <si>
    <t>Res 4K7 0805</t>
  </si>
  <si>
    <t>Res 10K 0805</t>
  </si>
  <si>
    <t>Cap 100nF</t>
  </si>
  <si>
    <t>Quantidade por rolo</t>
  </si>
  <si>
    <t>Lotes</t>
  </si>
  <si>
    <t>Total de Componentes</t>
  </si>
  <si>
    <t>Lote 01</t>
  </si>
  <si>
    <t>Usados</t>
  </si>
  <si>
    <t>Necessários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</si>
</sst>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 style="thin">
        <color theme="2" tint="-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Fill="1"/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0" fontId="0" fillId="0" borderId="3" xfId="0" applyBorder="1"/>
    <xf numFmtId="0" fontId="0" fillId="2" borderId="8" xfId="0" applyFill="1" applyBorder="1" applyAlignment="1">
      <alignment horizontal="center" vertical="center" wrapText="1"/>
    </xf>
    <xf numFmtId="0" fontId="0" fillId="0" borderId="1" xfId="0" applyBorder="1"/>
    <xf numFmtId="1" fontId="0" fillId="4" borderId="14" xfId="0" applyNumberFormat="1" applyFill="1" applyBorder="1" applyAlignment="1">
      <alignment horizontal="center" vertical="center"/>
    </xf>
    <xf numFmtId="1" fontId="0" fillId="4" borderId="1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vertical="center"/>
    </xf>
    <xf numFmtId="1" fontId="0" fillId="5" borderId="1" xfId="0" applyNumberFormat="1" applyFill="1" applyBorder="1" applyAlignment="1">
      <alignment vertical="center"/>
    </xf>
    <xf numFmtId="1" fontId="0" fillId="2" borderId="8" xfId="0" applyNumberFormat="1" applyFill="1" applyBorder="1" applyAlignment="1">
      <alignment horizontal="center" vertical="center"/>
    </xf>
    <xf numFmtId="1" fontId="1" fillId="2" borderId="13" xfId="0" applyNumberFormat="1" applyFont="1" applyFill="1" applyBorder="1" applyAlignment="1">
      <alignment horizontal="center" vertical="center" wrapText="1"/>
    </xf>
    <xf numFmtId="1" fontId="0" fillId="2" borderId="16" xfId="0" applyNumberForma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1" fontId="0" fillId="2" borderId="6" xfId="0" applyNumberForma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1" fontId="0" fillId="3" borderId="21" xfId="0" applyNumberFormat="1" applyFill="1" applyBorder="1" applyAlignment="1">
      <alignment horizontal="center" vertical="center"/>
    </xf>
    <xf numFmtId="0" fontId="0" fillId="3" borderId="21" xfId="0" applyFill="1" applyBorder="1"/>
    <xf numFmtId="0" fontId="0" fillId="3" borderId="19" xfId="0" applyFill="1" applyBorder="1" applyAlignment="1">
      <alignment horizontal="center" vertical="center"/>
    </xf>
    <xf numFmtId="0" fontId="0" fillId="3" borderId="19" xfId="0" applyFill="1" applyBorder="1"/>
    <xf numFmtId="1" fontId="0" fillId="3" borderId="22" xfId="0" applyNumberFormat="1" applyFill="1" applyBorder="1" applyAlignment="1">
      <alignment horizontal="center" vertical="center"/>
    </xf>
    <xf numFmtId="1" fontId="0" fillId="3" borderId="24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 wrapText="1"/>
    </xf>
    <xf numFmtId="1" fontId="0" fillId="3" borderId="25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1" fontId="0" fillId="3" borderId="20" xfId="0" applyNumberFormat="1" applyFill="1" applyBorder="1" applyAlignment="1">
      <alignment horizontal="center" vertical="center"/>
    </xf>
    <xf numFmtId="1" fontId="0" fillId="5" borderId="17" xfId="0" applyNumberFormat="1" applyFill="1" applyBorder="1" applyAlignment="1">
      <alignment vertical="center"/>
    </xf>
    <xf numFmtId="1" fontId="0" fillId="5" borderId="10" xfId="0" applyNumberFormat="1" applyFill="1" applyBorder="1" applyAlignment="1">
      <alignment vertical="center"/>
    </xf>
    <xf numFmtId="1" fontId="0" fillId="3" borderId="26" xfId="0" applyNumberFormat="1" applyFill="1" applyBorder="1" applyAlignment="1">
      <alignment horizontal="center" vertical="center"/>
    </xf>
    <xf numFmtId="1" fontId="0" fillId="3" borderId="27" xfId="0" applyNumberFormat="1" applyFill="1" applyBorder="1" applyAlignment="1">
      <alignment horizontal="center" vertical="center"/>
    </xf>
    <xf numFmtId="1" fontId="0" fillId="3" borderId="28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FF99FF"/>
      <color rgb="FFC7C7C7"/>
      <color rgb="FFFFDD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Guilherme Umemura" id="{C6717E49-70A6-4AB0-80E9-D042AE64B4A5}" userId="S::RM86184@fiap.com.br::8499f546-015c-4454-ab37-b2b0b090979c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" dT="2020-06-27T07:32:34.28" personId="{C6717E49-70A6-4AB0-80E9-D042AE64B4A5}" id="{30056955-4A12-4FA0-8F4D-8C9C2A2D7E56}">
    <text>A SER IMPLEMENTADO
Componentes necessários para a produção de todas as placas que constam no estoque (outra planilha)
Numeros em vermelho simbolizam falta, e os em preto, excedente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EC9B-8ED7-472F-81EC-B7AE268F27F9}">
  <sheetPr codeName="Planilha3"/>
  <dimension ref="A1:XFD231"/>
  <sheetViews>
    <sheetView tabSelected="1" zoomScaleNormal="100" workbookViewId="0">
      <selection activeCell="A223" sqref="A223:XFD231"/>
    </sheetView>
  </sheetViews>
  <sheetFormatPr defaultColWidth="0" defaultRowHeight="15" zeroHeight="1" x14ac:dyDescent="0.25"/>
  <cols>
    <col min="1" max="1" width="18.85546875" style="12" customWidth="1"/>
    <col min="2" max="2" width="16.28515625" style="10" customWidth="1"/>
    <col min="3" max="3" width="16.28515625" style="6" customWidth="1"/>
    <col min="4" max="4" width="1.85546875" style="50" customWidth="1"/>
    <col min="5" max="5" width="13.140625" style="53" customWidth="1"/>
    <col min="6" max="6" width="13.140625" style="49" customWidth="1"/>
    <col min="7" max="7" width="13.140625" style="44" customWidth="1"/>
    <col min="8" max="8" width="13.140625" style="14" customWidth="1"/>
    <col min="9" max="9" width="1.85546875" style="15" customWidth="1"/>
    <col min="10" max="10" width="10.5703125" style="10" customWidth="1"/>
    <col min="11" max="11" width="10.5703125" style="12" customWidth="1"/>
    <col min="12" max="12" width="4.42578125" style="35" hidden="1" customWidth="1"/>
    <col min="13" max="13" width="13.140625" style="41" customWidth="1"/>
    <col min="14" max="14" width="13.140625" style="43" customWidth="1"/>
    <col min="15" max="15" width="1.85546875" style="39" customWidth="1"/>
    <col min="16" max="16384" width="9.140625" hidden="1"/>
  </cols>
  <sheetData>
    <row r="1" spans="1:17" s="3" customFormat="1" ht="27.75" customHeight="1" x14ac:dyDescent="0.25">
      <c r="A1" s="20" t="s">
        <v>0</v>
      </c>
      <c r="B1" s="26" t="s">
        <v>7</v>
      </c>
      <c r="C1" s="28" t="s">
        <v>2</v>
      </c>
      <c r="D1" s="50"/>
      <c r="E1" s="22" t="s">
        <v>11</v>
      </c>
      <c r="F1" s="17" t="s">
        <v>1</v>
      </c>
      <c r="G1" s="23" t="s">
        <v>9</v>
      </c>
      <c r="H1" s="18" t="s">
        <v>12</v>
      </c>
      <c r="I1" s="15"/>
      <c r="J1" s="24" t="s">
        <v>8</v>
      </c>
      <c r="K1" s="25"/>
      <c r="L1" s="25"/>
      <c r="M1" s="32" t="s">
        <v>1</v>
      </c>
      <c r="N1" s="46" t="s">
        <v>9</v>
      </c>
      <c r="O1" s="36"/>
    </row>
    <row r="2" spans="1:17" s="3" customFormat="1" ht="15" customHeight="1" thickBot="1" x14ac:dyDescent="0.3">
      <c r="A2" s="21"/>
      <c r="B2" s="27"/>
      <c r="C2" s="29"/>
      <c r="D2" s="51"/>
      <c r="E2" s="22"/>
      <c r="F2" s="17"/>
      <c r="G2" s="23"/>
      <c r="H2" s="19"/>
      <c r="I2" s="16"/>
      <c r="J2" s="9" t="s">
        <v>10</v>
      </c>
      <c r="K2" s="11"/>
      <c r="L2" s="33"/>
      <c r="M2" s="32"/>
      <c r="N2" s="46"/>
      <c r="O2" s="37"/>
    </row>
    <row r="3" spans="1:17" x14ac:dyDescent="0.25">
      <c r="A3" s="4" t="s">
        <v>5</v>
      </c>
      <c r="B3" s="2">
        <v>1000</v>
      </c>
      <c r="C3" s="30">
        <v>9788533613379</v>
      </c>
      <c r="D3" s="51"/>
      <c r="E3" s="54"/>
      <c r="F3" s="52">
        <f ca="1">VALUE(M3)</f>
        <v>70</v>
      </c>
      <c r="G3" s="45">
        <f ca="1">VALUE(N3)</f>
        <v>70000</v>
      </c>
      <c r="H3" s="13"/>
      <c r="I3" s="16"/>
      <c r="J3" s="2">
        <v>60</v>
      </c>
      <c r="K3" s="4">
        <v>10</v>
      </c>
      <c r="L3" s="34"/>
      <c r="M3" s="47">
        <f ca="1">SUM(J3:INDIRECT(ADDRESS(ROW(),COLUMN()-1))) - E3</f>
        <v>70</v>
      </c>
      <c r="N3" s="48">
        <f ca="1">B3*INDIRECT(ADDRESS(ROW(),COLUMN()-1))</f>
        <v>70000</v>
      </c>
      <c r="O3" s="38"/>
      <c r="P3" s="1"/>
    </row>
    <row r="4" spans="1:17" x14ac:dyDescent="0.25">
      <c r="A4" s="4" t="s">
        <v>3</v>
      </c>
      <c r="B4" s="2">
        <v>500</v>
      </c>
      <c r="C4" s="31">
        <v>7896065880106</v>
      </c>
      <c r="D4" s="51"/>
      <c r="E4" s="53">
        <v>23</v>
      </c>
      <c r="F4" s="49">
        <f t="shared" ref="F4:F6" ca="1" si="0">VALUE(M4)</f>
        <v>37</v>
      </c>
      <c r="G4" s="44">
        <f t="shared" ref="G4:G6" ca="1" si="1">VALUE(N4)</f>
        <v>18500</v>
      </c>
      <c r="I4" s="16"/>
      <c r="J4" s="2">
        <v>10</v>
      </c>
      <c r="K4" s="4">
        <v>50</v>
      </c>
      <c r="L4" s="7"/>
      <c r="M4" s="40">
        <f ca="1">SUM(J4:INDIRECT(ADDRESS(ROW(),COLUMN()-1)))-E4</f>
        <v>37</v>
      </c>
      <c r="N4" s="42">
        <f ca="1">B4*INDIRECT(ADDRESS(ROW(),COLUMN()-1))</f>
        <v>18500</v>
      </c>
      <c r="O4" s="38"/>
      <c r="P4" s="1"/>
    </row>
    <row r="5" spans="1:17" x14ac:dyDescent="0.25">
      <c r="A5" s="2" t="s">
        <v>4</v>
      </c>
      <c r="B5" s="2">
        <v>750</v>
      </c>
      <c r="C5" s="31">
        <v>7891360506218</v>
      </c>
      <c r="D5" s="51"/>
      <c r="F5" s="49">
        <f t="shared" ca="1" si="0"/>
        <v>11</v>
      </c>
      <c r="G5" s="44">
        <f t="shared" ca="1" si="1"/>
        <v>8250</v>
      </c>
      <c r="I5" s="16"/>
      <c r="J5" s="2">
        <v>10</v>
      </c>
      <c r="K5" s="4">
        <v>1</v>
      </c>
      <c r="L5" s="7"/>
      <c r="M5" s="40">
        <f ca="1">SUM(J5:INDIRECT(ADDRESS(ROW(),COLUMN()-1)))-E5</f>
        <v>11</v>
      </c>
      <c r="N5" s="42">
        <f ca="1">B5*INDIRECT(ADDRESS(ROW(),COLUMN()-1))</f>
        <v>8250</v>
      </c>
      <c r="O5" s="38"/>
      <c r="P5" s="7"/>
      <c r="Q5" s="1"/>
    </row>
    <row r="6" spans="1:17" x14ac:dyDescent="0.25">
      <c r="A6" s="5" t="s">
        <v>6</v>
      </c>
      <c r="B6" s="5">
        <v>1500</v>
      </c>
      <c r="C6" s="30">
        <v>683318941915</v>
      </c>
      <c r="D6" s="51"/>
      <c r="F6" s="49">
        <f t="shared" ca="1" si="0"/>
        <v>3</v>
      </c>
      <c r="G6" s="44">
        <f t="shared" ca="1" si="1"/>
        <v>4500</v>
      </c>
      <c r="I6" s="16"/>
      <c r="J6" s="2">
        <v>1</v>
      </c>
      <c r="K6" s="4">
        <v>2</v>
      </c>
      <c r="L6" s="7"/>
      <c r="M6" s="40">
        <f ca="1">SUM(J6:INDIRECT(ADDRESS(ROW(),COLUMN()-1)))-E6</f>
        <v>3</v>
      </c>
      <c r="N6" s="42">
        <f ca="1">B6*INDIRECT(ADDRESS(ROW(),COLUMN()-1))</f>
        <v>4500</v>
      </c>
      <c r="O6" s="38"/>
      <c r="P6" s="8"/>
      <c r="Q6" s="1"/>
    </row>
    <row r="7" spans="1:17" hidden="1" x14ac:dyDescent="0.25"/>
    <row r="8" spans="1:17" hidden="1" x14ac:dyDescent="0.25"/>
    <row r="9" spans="1:17" hidden="1" x14ac:dyDescent="0.25"/>
    <row r="10" spans="1:17" hidden="1" x14ac:dyDescent="0.25"/>
    <row r="11" spans="1:17" hidden="1" x14ac:dyDescent="0.25"/>
    <row r="12" spans="1:17" hidden="1" x14ac:dyDescent="0.25"/>
    <row r="13" spans="1:17" hidden="1" x14ac:dyDescent="0.25"/>
    <row r="14" spans="1:17" hidden="1" x14ac:dyDescent="0.25"/>
    <row r="15" spans="1:17" hidden="1" x14ac:dyDescent="0.25"/>
    <row r="16" spans="1:17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</sheetData>
  <mergeCells count="10">
    <mergeCell ref="N1:N2"/>
    <mergeCell ref="E1:E2"/>
    <mergeCell ref="H1:H2"/>
    <mergeCell ref="A1:A2"/>
    <mergeCell ref="C1:C2"/>
    <mergeCell ref="B1:B2"/>
    <mergeCell ref="F1:F2"/>
    <mergeCell ref="G1:G2"/>
    <mergeCell ref="M1:M2"/>
    <mergeCell ref="J1:L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2020-07-02T04:46:03Z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